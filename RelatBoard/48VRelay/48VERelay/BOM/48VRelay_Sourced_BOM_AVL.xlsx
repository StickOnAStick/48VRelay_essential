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05d012323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1c09d60e3e84a78"/>
    <x:sheet xmlns:r="http://schemas.openxmlformats.org/officeDocument/2006/relationships" name="Recommended BOM" sheetId="2" r:id="Rada2a596004343ca"/>
    <x:sheet xmlns:r="http://schemas.openxmlformats.org/officeDocument/2006/relationships" name="AVL Details" sheetId="3" r:id="Rd7b059728230444a"/>
    <x:sheet xmlns:r="http://schemas.openxmlformats.org/officeDocument/2006/relationships" name="Blocking Issues" sheetId="4" r:id="Rf16bb08413cb48ef"/>
    <x:sheet xmlns:r="http://schemas.openxmlformats.org/officeDocument/2006/relationships" name="JLC Primary Draft" sheetId="5" r:id="R1c8ba69afdce42a0"/>
    <x:sheet xmlns:r="http://schemas.openxmlformats.org/officeDocument/2006/relationships" name="Original BOM" sheetId="6" r:id="R9038e544b3b2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374151"/>
      <x:name val="Carlito"/>
    </x:font>
    <x:font>
      <x:b/>
      <x:sz val="11"/>
      <x:name val="Carlito"/>
    </x:font>
    <x:font>
      <x:b/>
      <x:sz val="13"/>
      <x:name val="Carlito"/>
    </x:font>
    <x:font>
      <x:b/>
      <x:sz val="13"/>
      <x:color rgb="FFFFFFFF"/>
      <x:name val="Carlito"/>
    </x:font>
    <x:font>
      <x:b/>
      <x:sz val="12"/>
      <x:color rgb="FF991B1B"/>
      <x:name val="Carlito"/>
    </x:font>
    <x:font>
      <x:sz val="11"/>
      <x:color rgb="FF0563C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2F75B5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8324A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0ceaaa4694c6b" /><Relationship Type="http://schemas.openxmlformats.org/officeDocument/2006/relationships/theme" Target="/xl/theme/theme1.xml" Id="R3fd5de80b9994b9a" /><Relationship Type="http://schemas.openxmlformats.org/officeDocument/2006/relationships/sharedStrings" Target="/xl/sharedStrings.xml" Id="R884fdaaff4e0488a" /><Relationship Type="http://schemas.openxmlformats.org/officeDocument/2006/relationships/worksheet" Target="/xl/worksheets/sheet1.xml" Id="Rd1c09d60e3e84a78" /><Relationship Type="http://schemas.openxmlformats.org/officeDocument/2006/relationships/worksheet" Target="/xl/worksheets/sheet2.xml" Id="Rada2a596004343ca" /><Relationship Type="http://schemas.openxmlformats.org/officeDocument/2006/relationships/worksheet" Target="/xl/worksheets/sheet3.xml" Id="Rd7b059728230444a" /><Relationship Type="http://schemas.openxmlformats.org/officeDocument/2006/relationships/worksheet" Target="/xl/worksheets/sheet4.xml" Id="Rf16bb08413cb48ef" /><Relationship Type="http://schemas.openxmlformats.org/officeDocument/2006/relationships/worksheet" Target="/xl/worksheets/sheet5.xml" Id="R1c8ba69afdce42a0" /><Relationship Type="http://schemas.openxmlformats.org/officeDocument/2006/relationships/worksheet" Target="/xl/worksheets/sheet6.xml" Id="R9038e544b3b24f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e8d5f5f13046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BOM Readiness by Line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'Overview'!$D$7:$D$10</c:f>
              <c:strCache>
                <c:ptCount val="0"/>
              </c:strCache>
            </c:strRef>
          </c:cat>
          <c:val>
            <c:numRef>
              <c:f>'Overview'!$E$7:$E$10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e8d5f5f13046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ommendedBOMTable" displayName="RecommendedBOMTable" ref="A1:V48" headerRowCount="1">
  <x:tableColumns count="22">
    <x:tableColumn id="1" name="Line"/>
    <x:tableColumn id="2" name="Reference"/>
    <x:tableColumn id="3" name="Qty"/>
    <x:tableColumn id="4" name="Original Value"/>
    <x:tableColumn id="5" name="Original Footprint"/>
    <x:tableColumn id="6" name="Status"/>
    <x:tableColumn id="7" name="Primary Manufacturer"/>
    <x:tableColumn id="8" name="Primary MPN"/>
    <x:tableColumn id="9" name="JLC/LCSC Code"/>
    <x:tableColumn id="10" name="Primary Package"/>
    <x:tableColumn id="11" name="Key Specs"/>
    <x:tableColumn id="12" name="Availability / Cost"/>
    <x:tableColumn id="13" name="Compatibility"/>
    <x:tableColumn id="14" name="Alternative 1"/>
    <x:tableColumn id="15" name="Alt 1 Compatibility"/>
    <x:tableColumn id="16" name="Alternative 2"/>
    <x:tableColumn id="17" name="Alt 2 Compatibility"/>
    <x:tableColumn id="18" name="Alternative 3"/>
    <x:tableColumn id="19" name="Alt 3 Compatibility"/>
    <x:tableColumn id="20" name="Required Action / Engineering Note"/>
    <x:tableColumn id="21" name="Primary Source URL"/>
    <x:tableColumn id="22" name="Original Datasheet / Entry"/>
  </x:tableColumns>
  <x:tableStyleInfo name="TableStyleMedium2" showRowStripes="1"/>
</x:table>
</file>

<file path=xl/tables/table2.xml><?xml version="1.0" encoding="utf-8"?>
<x:table xmlns:x="http://schemas.openxmlformats.org/spreadsheetml/2006/main" id="2" name="AVLDetailsTable" displayName="AVLDetailsTable" ref="A1:N189" headerRowCount="1">
  <x:tableColumns count="14">
    <x:tableColumn id="1" name="Line"/>
    <x:tableColumn id="2" name="Reference"/>
    <x:tableColumn id="3" name="Rank"/>
    <x:tableColumn id="4" name="Role"/>
    <x:tableColumn id="5" name="Manufacturer"/>
    <x:tableColumn id="6" name="MPN"/>
    <x:tableColumn id="7" name="JLC/LCSC Code"/>
    <x:tableColumn id="8" name="Package"/>
    <x:tableColumn id="9" name="Key Specs"/>
    <x:tableColumn id="10" name="Availability"/>
    <x:tableColumn id="11" name="Price Indication"/>
    <x:tableColumn id="12" name="Compatibility"/>
    <x:tableColumn id="13" name="Candidate Notes"/>
    <x:tableColumn id="14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5" name="IssuesTable" displayName="IssuesTable" ref="A1:F12" headerRowCount="1">
  <x:tableColumns count="6">
    <x:tableColumn id="1" name="Priority"/>
    <x:tableColumn id="2" name="Reference / Area"/>
    <x:tableColumn id="3" name="Issue"/>
    <x:tableColumn id="4" name="Why It Matters"/>
    <x:tableColumn id="5" name="Required Fix Before Release"/>
    <x:tableColumn id="6" name="Evidence / Source"/>
  </x:tableColumns>
  <x:tableStyleInfo name="TableStyleMedium2" showRowStripes="1"/>
</x:table>
</file>

<file path=xl/tables/table4.xml><?xml version="1.0" encoding="utf-8"?>
<x:table xmlns:x="http://schemas.openxmlformats.org/spreadsheetml/2006/main" id="4" name="JLCPrimaryDraftTable" displayName="JLCPrimaryDraftTable" ref="A1:H48" headerRowCount="1">
  <x:tableColumns count="8">
    <x:tableColumn id="1" name="Comment / Value"/>
    <x:tableColumn id="2" name="Designator"/>
    <x:tableColumn id="3" name="Footprint"/>
    <x:tableColumn id="4" name="LCSC Part #"/>
    <x:tableColumn id="5" name="Manufacturer Part #"/>
    <x:tableColumn id="6" name="Qty"/>
    <x:tableColumn id="7" name="Release Status"/>
    <x:tableColumn id="8" name="Procurement Note"/>
  </x:tableColumns>
  <x:tableStyleInfo name="TableStyleMedium2" showRowStripes="1"/>
</x:table>
</file>

<file path=xl/tables/table5.xml><?xml version="1.0" encoding="utf-8"?>
<x:table xmlns:x="http://schemas.openxmlformats.org/spreadsheetml/2006/main" id="3" name="OriginalBOMTable" displayName="OriginalBOMTable" ref="A1:F48" headerRowCount="1">
  <x:tableColumns count="6">
    <x:tableColumn id="1" name="Reference"/>
    <x:tableColumn id="2" name="Value"/>
    <x:tableColumn id="3" name="Datasheet"/>
    <x:tableColumn id="4" name="Footprint"/>
    <x:tableColumn id="5" name="Qty"/>
    <x:tableColumn id="6" name="DN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3acaa6a03748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731e53af7b43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26b06b4575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057e6ca0b741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0166cefe4d47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08bc962464417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" hidden="0" customWidth="1"/>
    <x:col min="4" max="4" width="20" hidden="0" customWidth="1"/>
    <x:col min="5" max="5" width="12" hidden="0" customWidth="1"/>
    <x:col min="6" max="6" width="4" hidden="0" customWidth="1"/>
    <x:col min="7" max="7" width="4" hidden="0" customWidth="1"/>
    <x:col min="8" max="8" width="28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20" t="str">
        <x:v>48 V Relay PCBA — Sourced BOM &amp; AVL</x:v>
      </x:c>
      <x:c r="B1" s="20"/>
      <x:c r="C1" s="20"/>
      <x:c r="D1" s="20"/>
      <x:c r="E1" s="20"/>
      <x:c r="F1" s="20"/>
      <x:c r="G1" s="20"/>
      <x:c r="H1" s="20"/>
    </x:row>
    <x:row r="2" ht="30" customHeight="1">
      <x:c r="A2" s="20"/>
      <x:c r="B2" s="20"/>
      <x:c r="C2" s="20"/>
      <x:c r="D2" s="20"/>
      <x:c r="E2" s="20"/>
      <x:c r="F2" s="20"/>
      <x:c r="G2" s="20"/>
      <x:c r="H2" s="20"/>
    </x:row>
    <x:row r="3">
      <x:c r="A3" s="68" t="str">
        <x:v>Research date</x:v>
      </x:c>
      <x:c r="B3" s="69" t="n">
        <x:v>46225</x:v>
      </x:c>
      <x:c r="C3" s="70"/>
      <x:c r="D3" s="70"/>
      <x:c r="E3" s="70"/>
      <x:c r="F3" s="70"/>
      <x:c r="G3" s="70"/>
      <x:c r="H3" s="70"/>
    </x:row>
    <x:row r="4">
      <x:c r="A4" s="68" t="str">
        <x:v>Scope</x:v>
      </x:c>
      <x:c r="B4" s="70" t="str">
        <x:v>Low-cost, available primary selection plus three alternatives for each original BOM line; optimized for eventual JLCPCB assembly.</x:v>
      </x:c>
      <x:c r="C4" s="70"/>
      <x:c r="D4" s="70"/>
      <x:c r="E4" s="70"/>
      <x:c r="F4" s="70"/>
      <x:c r="G4" s="70"/>
      <x:c r="H4" s="70"/>
    </x:row>
    <x:row r="5">
      <x:c r="A5" s="70"/>
      <x:c r="B5" s="70"/>
      <x:c r="C5" s="70"/>
      <x:c r="D5" s="70"/>
      <x:c r="E5" s="70"/>
      <x:c r="F5" s="70"/>
      <x:c r="G5" s="70"/>
      <x:c r="H5" s="70"/>
    </x:row>
    <x:row r="6">
      <x:c r="A6" s="8" t="str">
        <x:v>Metric</x:v>
      </x:c>
      <x:c r="B6" s="8" t="str">
        <x:v>Count</x:v>
      </x:c>
      <x:c r="C6" s="70"/>
      <x:c r="D6" s="8" t="str">
        <x:v>Status</x:v>
      </x:c>
      <x:c r="E6" s="8" t="str">
        <x:v>Count</x:v>
      </x:c>
      <x:c r="F6" s="70"/>
      <x:c r="G6" s="70"/>
      <x:c r="H6" s="70"/>
    </x:row>
    <x:row r="7">
      <x:c r="A7" s="71" t="str">
        <x:v>Original BOM lines</x:v>
      </x:c>
      <x:c r="B7" s="72" t="n">
        <x:f>COUNTA('Recommended BOM'!B2:B48)</x:f>
        <x:v>47</x:v>
      </x:c>
      <x:c r="C7" s="70"/>
      <x:c r="D7" s="73" t="str">
        <x:v>READY</x:v>
      </x:c>
      <x:c r="E7" s="70" t="n">
        <x:f>COUNTIF('Recommended BOM'!F2:F48,D7)</x:f>
        <x:v>28</x:v>
      </x:c>
      <x:c r="F7" s="70"/>
      <x:c r="G7" s="70"/>
      <x:c r="H7" s="70"/>
    </x:row>
    <x:row r="8">
      <x:c r="A8" s="71" t="str">
        <x:v>Total placements</x:v>
      </x:c>
      <x:c r="B8" s="72" t="n">
        <x:f>SUM('Recommended BOM'!C2:C48)</x:f>
        <x:v>102</x:v>
      </x:c>
      <x:c r="C8" s="70"/>
      <x:c r="D8" s="74" t="str">
        <x:v>VERIFY</x:v>
      </x:c>
      <x:c r="E8" s="70" t="n">
        <x:f>COUNTIF('Recommended BOM'!F3:F49,D8)</x:f>
        <x:v>8</x:v>
      </x:c>
      <x:c r="F8" s="70"/>
      <x:c r="G8" s="70"/>
      <x:c r="H8" s="70"/>
    </x:row>
    <x:row r="9">
      <x:c r="A9" s="71" t="str">
        <x:v>Ready</x:v>
      </x:c>
      <x:c r="B9" s="72" t="n">
        <x:f>COUNTIF('Recommended BOM'!F2:F48,"READY")</x:f>
        <x:v>28</x:v>
      </x:c>
      <x:c r="C9" s="70"/>
      <x:c r="D9" s="75" t="str">
        <x:v>BLOCKER</x:v>
      </x:c>
      <x:c r="E9" s="70" t="n">
        <x:f>COUNTIF('Recommended BOM'!F4:F50,D9)</x:f>
        <x:v>8</x:v>
      </x:c>
      <x:c r="F9" s="70"/>
      <x:c r="G9" s="70"/>
      <x:c r="H9" s="70"/>
    </x:row>
    <x:row r="10">
      <x:c r="A10" s="71" t="str">
        <x:v>Verify / qualification</x:v>
      </x:c>
      <x:c r="B10" s="72" t="n">
        <x:f>COUNTIF('Recommended BOM'!F2:F48,"VERIFY")</x:f>
        <x:v>8</x:v>
      </x:c>
      <x:c r="C10" s="70"/>
      <x:c r="D10" s="75" t="str">
        <x:v>ENGINEERING HOLD</x:v>
      </x:c>
      <x:c r="E10" s="70" t="n">
        <x:f>COUNTIF('Recommended BOM'!F5:F51,D10)</x:f>
        <x:v>1</x:v>
      </x:c>
      <x:c r="F10" s="70"/>
      <x:c r="G10" s="70"/>
      <x:c r="H10" s="70"/>
    </x:row>
    <x:row r="11">
      <x:c r="A11" s="71" t="str">
        <x:v>Blocker / engineering hold</x:v>
      </x:c>
      <x:c r="B11" s="72" t="n">
        <x:f>COUNTIF('Recommended BOM'!F2:F48,"BLOCKER")+COUNTIF('Recommended BOM'!F2:F48,"ENGINEERING HOLD")</x:f>
        <x:v>11</x:v>
      </x:c>
      <x:c r="C11" s="70"/>
      <x:c r="D11" s="70"/>
      <x:c r="E11" s="70"/>
      <x:c r="F11" s="70"/>
      <x:c r="G11" s="70"/>
      <x:c r="H11" s="70"/>
    </x:row>
    <x:row r="12">
      <x:c r="A12" s="70"/>
      <x:c r="B12" s="70"/>
      <x:c r="C12" s="70"/>
      <x:c r="D12" s="70"/>
      <x:c r="E12" s="70"/>
      <x:c r="F12" s="70"/>
      <x:c r="G12" s="70"/>
      <x:c r="H12" s="70"/>
    </x:row>
    <x:row r="13">
      <x:c r="A13" s="76" t="str">
        <x:v>Release verdict</x:v>
      </x:c>
      <x:c r="B13" s="76"/>
      <x:c r="C13" s="76"/>
      <x:c r="D13" s="76"/>
      <x:c r="E13" s="76"/>
      <x:c r="F13" s="76"/>
      <x:c r="G13" s="76"/>
      <x:c r="H13" s="76"/>
    </x:row>
    <x:row r="14" ht="34" customHeight="1">
      <x:c r="A14" s="49" t="str">
        <x:v>Not upload-ready yet. Resolve the P0 footprint/MPN conflicts and the input-TVS protection coordination first. After those fixes, the AVL sheet provides a usable primary plus three alternatives for every original line.</x:v>
      </x:c>
      <x:c r="B14" s="49"/>
      <x:c r="C14" s="49"/>
      <x:c r="D14" s="49"/>
      <x:c r="E14" s="49"/>
      <x:c r="F14" s="49"/>
      <x:c r="G14" s="49"/>
      <x:c r="H14" s="49"/>
    </x:row>
    <x:row r="15" ht="34" customHeight="1">
      <x:c r="A15" s="49"/>
      <x:c r="B15" s="49"/>
      <x:c r="C15" s="49"/>
      <x:c r="D15" s="49"/>
      <x:c r="E15" s="49"/>
      <x:c r="F15" s="49"/>
      <x:c r="G15" s="49"/>
      <x:c r="H15" s="49"/>
    </x:row>
    <x:row r="16">
      <x:c r="A16" s="70"/>
      <x:c r="B16" s="70"/>
      <x:c r="C16" s="70"/>
      <x:c r="D16" s="70"/>
      <x:c r="E16" s="70"/>
      <x:c r="F16" s="70"/>
      <x:c r="G16" s="70"/>
      <x:c r="H16" s="70"/>
    </x:row>
    <x:row r="17">
      <x:c r="A17" s="77" t="str">
        <x:v>How to use this workbook</x:v>
      </x:c>
      <x:c r="B17" s="77"/>
      <x:c r="C17" s="77"/>
      <x:c r="D17" s="77"/>
      <x:c r="E17" s="77"/>
      <x:c r="F17" s="77"/>
      <x:c r="G17" s="77"/>
      <x:c r="H17" s="77"/>
    </x:row>
    <x:row r="18" ht="28" customHeight="1">
      <x:c r="A18" s="78" t="str">
        <x:v>1</x:v>
      </x:c>
      <x:c r="B18" s="79" t="str">
        <x:v>Fix P0 items in “Blocking Issues” before ordering.</x:v>
      </x:c>
      <x:c r="C18" s="79" t="str"/>
      <x:c r="D18" s="79" t="str"/>
      <x:c r="E18" s="79" t="str"/>
      <x:c r="F18" s="79" t="str"/>
      <x:c r="G18" s="79" t="str"/>
      <x:c r="H18" s="79" t="str"/>
    </x:row>
    <x:row r="19" ht="28" customHeight="1">
      <x:c r="A19" s="78" t="str">
        <x:v>2</x:v>
      </x:c>
      <x:c r="B19" s="79" t="str">
        <x:v>Split grouped mixed-footprint rows in KiCad and regenerate the BOM.</x:v>
      </x:c>
      <x:c r="C19" s="79" t="str"/>
      <x:c r="D19" s="79" t="str"/>
      <x:c r="E19" s="79" t="str"/>
      <x:c r="F19" s="79" t="str"/>
      <x:c r="G19" s="79" t="str"/>
      <x:c r="H19" s="79" t="str"/>
    </x:row>
    <x:row r="20" ht="28" customHeight="1">
      <x:c r="A20" s="78" t="str">
        <x:v>3</x:v>
      </x:c>
      <x:c r="B20" s="79" t="str">
        <x:v>Use “Recommended BOM” for line-level decisions and “AVL Details” for the full four-part approved vendor list.</x:v>
      </x:c>
      <x:c r="C20" s="79" t="str"/>
      <x:c r="D20" s="79" t="str"/>
      <x:c r="E20" s="79" t="str"/>
      <x:c r="F20" s="79" t="str"/>
      <x:c r="G20" s="79" t="str"/>
      <x:c r="H20" s="79" t="str"/>
    </x:row>
    <x:row r="21" ht="28" customHeight="1">
      <x:c r="A21" s="78" t="str">
        <x:v>4</x:v>
      </x:c>
      <x:c r="B21" s="79" t="str">
        <x:v>Use “JLC Primary Draft” only as a procurement worksheet—not as a final JLC upload—until every status is READY.</x:v>
      </x:c>
      <x:c r="C21" s="79" t="str"/>
      <x:c r="D21" s="79" t="str"/>
      <x:c r="E21" s="79" t="str"/>
      <x:c r="F21" s="79" t="str"/>
      <x:c r="G21" s="79" t="str"/>
      <x:c r="H21" s="79" t="str"/>
    </x:row>
    <x:row r="22" ht="28" customHeight="1">
      <x:c r="A22" s="78" t="str">
        <x:v>5</x:v>
      </x:c>
      <x:c r="B22" s="79" t="str">
        <x:v>Recheck JLC stock and pricing immediately before quote/order; inventory and Basic/Extended classification change.</x:v>
      </x:c>
      <x:c r="C22" s="79" t="str"/>
      <x:c r="D22" s="79" t="str"/>
      <x:c r="E22" s="79" t="str"/>
      <x:c r="F22" s="79" t="str"/>
      <x:c r="G22" s="79" t="str"/>
      <x:c r="H22" s="79" t="str"/>
    </x:row>
    <x:row r="23">
      <x:c r="A23" s="70"/>
      <x:c r="B23" s="70"/>
      <x:c r="C23" s="70"/>
      <x:c r="D23" s="70"/>
      <x:c r="E23" s="70"/>
      <x:c r="F23" s="70"/>
      <x:c r="G23" s="70"/>
      <x:c r="H23" s="70"/>
    </x:row>
    <x:row r="24">
      <x:c r="A24" s="80" t="str">
        <x:v>Assumptions and limits</x:v>
      </x:c>
      <x:c r="B24" s="80"/>
      <x:c r="C24" s="80"/>
      <x:c r="D24" s="80"/>
      <x:c r="E24" s="80"/>
      <x:c r="F24" s="80"/>
      <x:c r="G24" s="80"/>
      <x:c r="H24" s="80"/>
    </x:row>
    <x:row r="25" ht="32" customHeight="1">
      <x:c r="A25" s="81" t="str">
        <x:v>Passive voltage ratings were selected conservatively where the CSV did not identify the rail. Confirm every capacitor against its actual net voltage and DC-bias curve.</x:v>
      </x:c>
      <x:c r="B25" s="81" t="str"/>
      <x:c r="C25" s="81" t="str"/>
      <x:c r="D25" s="81" t="str"/>
      <x:c r="E25" s="81" t="str"/>
      <x:c r="F25" s="81" t="str"/>
      <x:c r="G25" s="81" t="str"/>
      <x:c r="H25" s="81" t="str"/>
    </x:row>
    <x:row r="26" ht="32" customHeight="1">
      <x:c r="A26" s="81" t="str">
        <x:v>Alternatives marked “layout change” or “configuration review” are not drop-in substitutions; they are contingency options requiring engineering work.</x:v>
      </x:c>
      <x:c r="B26" s="81" t="str"/>
      <x:c r="C26" s="81" t="str"/>
      <x:c r="D26" s="81" t="str"/>
      <x:c r="E26" s="81" t="str"/>
      <x:c r="F26" s="81" t="str"/>
      <x:c r="G26" s="81" t="str"/>
      <x:c r="H26" s="81" t="str"/>
    </x:row>
    <x:row r="27" ht="32" customHeight="1">
      <x:c r="A27" s="81" t="str">
        <x:v>No placement file or fully resolved per-reference footprint mapping was provided, so mixed-footprint groups cannot be converted into a final assembly BOM safely.</x:v>
      </x:c>
      <x:c r="B27" s="81" t="str"/>
      <x:c r="C27" s="81" t="str"/>
      <x:c r="D27" s="81" t="str"/>
      <x:c r="E27" s="81" t="str"/>
      <x:c r="F27" s="81" t="str"/>
      <x:c r="G27" s="81" t="str"/>
      <x:c r="H27" s="81" t="str"/>
    </x:row>
    <x:row r="28" ht="32" customHeight="1">
      <x:c r="A28" s="81" t="str">
        <x:v>Stock and price indications are snapshots/qualitative signals, not guaranteed quotes. JLCPCB order-time inventory is the final authority.</x:v>
      </x:c>
      <x:c r="B28" s="81" t="str"/>
      <x:c r="C28" s="81" t="str"/>
      <x:c r="D28" s="81" t="str"/>
      <x:c r="E28" s="81" t="str"/>
      <x:c r="F28" s="81" t="str"/>
      <x:c r="G28" s="81" t="str"/>
      <x:c r="H28" s="81" t="str"/>
    </x:row>
  </x:sheetData>
  <x:mergeCells>
    <x:mergeCell ref="A1:H2"/>
    <x:mergeCell ref="B4:H4"/>
    <x:mergeCell ref="A13:H13"/>
    <x:mergeCell ref="A14:H15"/>
    <x:mergeCell ref="A17:H17"/>
    <x:mergeCell ref="B18:H18"/>
    <x:mergeCell ref="B19:H19"/>
    <x:mergeCell ref="B20:H20"/>
    <x:mergeCell ref="B21:H21"/>
    <x:mergeCell ref="B22:H22"/>
    <x:mergeCell ref="A24:H24"/>
    <x:mergeCell ref="A25:H25"/>
    <x:mergeCell ref="A26:H26"/>
    <x:mergeCell ref="A27:H27"/>
    <x:mergeCell ref="A28:H28"/>
  </x:mergeCells>
  <x:pageMargins left="0.7" right="0.7" top="0.75" bottom="0.75" header="0.3" footer="0.3"/>
  <x:drawing xmlns:r="http://schemas.openxmlformats.org/officeDocument/2006/relationships" r:id="R3a3acaa6a03748e2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7" hidden="0" customWidth="1"/>
    <x:col min="4" max="4" width="20" hidden="0" customWidth="1"/>
    <x:col min="5" max="5" width="34" hidden="0" customWidth="1"/>
    <x:col min="6" max="6" width="18" hidden="0" customWidth="1"/>
    <x:col min="7" max="7" width="21" hidden="0" customWidth="1"/>
    <x:col min="8" max="8" width="27" hidden="0" customWidth="1"/>
    <x:col min="9" max="9" width="14" hidden="0" customWidth="1"/>
    <x:col min="10" max="10" width="20" hidden="0" customWidth="1"/>
    <x:col min="11" max="11" width="34" hidden="0" customWidth="1"/>
    <x:col min="12" max="12" width="24" hidden="0" customWidth="1"/>
    <x:col min="13" max="13" width="25" hidden="0" customWidth="1"/>
    <x:col min="14" max="14" width="30" hidden="0" customWidth="1"/>
    <x:col min="15" max="15" width="24" hidden="0" customWidth="1"/>
    <x:col min="16" max="16" width="30" hidden="0" customWidth="1"/>
    <x:col min="17" max="17" width="24" hidden="0" customWidth="1"/>
    <x:col min="18" max="18" width="30" hidden="0" customWidth="1"/>
    <x:col min="19" max="19" width="24" hidden="0" customWidth="1"/>
    <x:col min="20" max="20" width="58" hidden="0" customWidth="1"/>
    <x:col min="21" max="21" width="50" hidden="0" customWidth="1"/>
    <x:col min="22" max="22" width="38" hidden="0" customWidth="1"/>
  </x:cols>
  <x:sheetData>
    <x:row r="1" ht="34" customHeight="1">
      <x:c r="A1" s="96" t="str">
        <x:v>Line</x:v>
      </x:c>
      <x:c r="B1" s="97" t="str">
        <x:v>Reference</x:v>
      </x:c>
      <x:c r="C1" s="97" t="str">
        <x:v>Qty</x:v>
      </x:c>
      <x:c r="D1" s="97" t="str">
        <x:v>Original Value</x:v>
      </x:c>
      <x:c r="E1" s="97" t="str">
        <x:v>Original Footprint</x:v>
      </x:c>
      <x:c r="F1" s="97" t="str">
        <x:v>Status</x:v>
      </x:c>
      <x:c r="G1" s="97" t="str">
        <x:v>Primary Manufacturer</x:v>
      </x:c>
      <x:c r="H1" s="97" t="str">
        <x:v>Primary MPN</x:v>
      </x:c>
      <x:c r="I1" s="97" t="str">
        <x:v>JLC/LCSC Code</x:v>
      </x:c>
      <x:c r="J1" s="97" t="str">
        <x:v>Primary Package</x:v>
      </x:c>
      <x:c r="K1" s="97" t="str">
        <x:v>Key Specs</x:v>
      </x:c>
      <x:c r="L1" s="97" t="str">
        <x:v>Availability / Cost</x:v>
      </x:c>
      <x:c r="M1" s="97" t="str">
        <x:v>Compatibility</x:v>
      </x:c>
      <x:c r="N1" s="97" t="str">
        <x:v>Alternative 1</x:v>
      </x:c>
      <x:c r="O1" s="97" t="str">
        <x:v>Alt 1 Compatibility</x:v>
      </x:c>
      <x:c r="P1" s="97" t="str">
        <x:v>Alternative 2</x:v>
      </x:c>
      <x:c r="Q1" s="97" t="str">
        <x:v>Alt 2 Compatibility</x:v>
      </x:c>
      <x:c r="R1" s="97" t="str">
        <x:v>Alternative 3</x:v>
      </x:c>
      <x:c r="S1" s="97" t="str">
        <x:v>Alt 3 Compatibility</x:v>
      </x:c>
      <x:c r="T1" s="97" t="str">
        <x:v>Required Action / Engineering Note</x:v>
      </x:c>
      <x:c r="U1" s="97" t="str">
        <x:v>Primary Source URL</x:v>
      </x:c>
      <x:c r="V1" s="98" t="str">
        <x:v>Original Datasheet / Entry</x:v>
      </x:c>
    </x:row>
    <x:row r="2">
      <x:c r="A2" s="99" t="n">
        <x:v>1</x:v>
      </x:c>
      <x:c r="B2" s="16" t="str">
        <x:v>C1,C2,C8,C26,C27,C28,C29</x:v>
      </x:c>
      <x:c r="C2" s="16" t="n">
        <x:v>7</x:v>
      </x:c>
      <x:c r="D2" s="16" t="str">
        <x:v>10uF</x:v>
      </x:c>
      <x:c r="E2" s="16" t="str">
        <x:v>Capacitor_SMD:C_0603_1608Metric,Capacitor_SMD:C_0805_2012Metric</x:v>
      </x:c>
      <x:c r="F2" s="16" t="str">
        <x:v>BLOCKER</x:v>
      </x:c>
      <x:c r="G2" s="16" t="str">
        <x:v>Samsung Electro-Mechanics</x:v>
      </x:c>
      <x:c r="H2" s="16" t="str">
        <x:v>CL21A106KOQNNNE</x:v>
      </x:c>
      <x:c r="I2" s="16" t="str"/>
      <x:c r="J2" s="16" t="str">
        <x:v>0805</x:v>
      </x:c>
      <x:c r="K2" s="16" t="str">
        <x:v>10 µF, 16 V, X5R, ±10%</x:v>
      </x:c>
      <x:c r="L2" s="16" t="str">
        <x:v>Medium; exact Samsung listing varies</x:v>
      </x:c>
      <x:c r="M2" s="16" t="str">
        <x:v>Drop-in</x:v>
      </x:c>
      <x:c r="N2" s="16" t="str">
        <x:v>Murata — GRM21BR61C106KE15L</x:v>
      </x:c>
      <x:c r="O2" s="16" t="str">
        <x:v>Drop-in</x:v>
      </x:c>
      <x:c r="P2" s="16" t="str">
        <x:v>Samsung Electro-Mechanics — CL10A106KP8NNNC</x:v>
      </x:c>
      <x:c r="Q2" s="16" t="str">
        <x:v>Drop-in only for 0603 refs</x:v>
      </x:c>
      <x:c r="R2" s="16" t="str">
        <x:v>Murata — GRM188R61A106KAAL</x:v>
      </x:c>
      <x:c r="S2" s="16" t="str">
        <x:v>Drop-in only for 0603 refs</x:v>
      </x:c>
      <x:c r="T2" s="16" t="str">
        <x:v>Split by footprint and rail voltage before ordering. One MPN cannot fit both 0603 and 0805.</x:v>
      </x:c>
      <x:c r="U2" s="112" t="str">
        <x:v>https://www.digikey.com/en/products/detail/samsung-electro-mechanics/CL21A106KOQNNNE/3886754</x:v>
      </x:c>
      <x:c r="V2" s="113" t="str">
        <x:v>CL21A106KOQNNNE</x:v>
      </x:c>
    </x:row>
    <x:row r="3">
      <x:c r="A3" s="99" t="n">
        <x:v>2</x:v>
      </x:c>
      <x:c r="B3" s="16" t="str">
        <x:v>C3,C4,C7,C11,C12,C13,C14,C15,C16</x:v>
      </x:c>
      <x:c r="C3" s="16" t="n">
        <x:v>9</x:v>
      </x:c>
      <x:c r="D3" s="16" t="str">
        <x:v>0.1uF</x:v>
      </x:c>
      <x:c r="E3" s="16" t="str">
        <x:v>Capacitor_SMD:C_0201_0603Metric,Capacitor_SMD:C_0402_1005Metric,Capacitor_SMD:C_0603_1608Metric</x:v>
      </x:c>
      <x:c r="F3" s="16" t="str">
        <x:v>BLOCKER</x:v>
      </x:c>
      <x:c r="G3" s="16" t="str">
        <x:v>Yageo</x:v>
      </x:c>
      <x:c r="H3" s="16" t="str">
        <x:v>CC0603KRX7R9BB104</x:v>
      </x:c>
      <x:c r="I3" s="16" t="str"/>
      <x:c r="J3" s="16" t="str">
        <x:v>0603</x:v>
      </x:c>
      <x:c r="K3" s="16" t="str">
        <x:v>100 nF, 50 V, X7R, ±10%</x:v>
      </x:c>
      <x:c r="L3" s="16" t="str">
        <x:v>High / commodity</x:v>
      </x:c>
      <x:c r="M3" s="16" t="str">
        <x:v>Drop-in</x:v>
      </x:c>
      <x:c r="N3" s="16" t="str">
        <x:v>Murata — GRM155R71H104KE14D</x:v>
      </x:c>
      <x:c r="O3" s="16" t="str">
        <x:v>Drop-in only for 0402 refs</x:v>
      </x:c>
      <x:c r="P3" s="16" t="str">
        <x:v>Murata — GRM033R71E104KE14D</x:v>
      </x:c>
      <x:c r="Q3" s="16" t="str">
        <x:v>Drop-in</x:v>
      </x:c>
      <x:c r="R3" s="16" t="str">
        <x:v>Samsung Electro-Mechanics — CL10B104KB8NNNC</x:v>
      </x:c>
      <x:c r="S3" s="16" t="str">
        <x:v>Drop-in</x:v>
      </x:c>
      <x:c r="T3" s="16" t="str">
        <x:v>Split into 0201, 0402 and 0603 BOM lines. Primary shown is 0603; choose the package-specific candidate per reference.</x:v>
      </x:c>
      <x:c r="U3" s="112" t="str">
        <x:v>https://www.digikey.com/en/products/result?keywords=CC0603KRX7R9BB104</x:v>
      </x:c>
      <x:c r="V3" s="113" t="str"/>
    </x:row>
    <x:row r="4">
      <x:c r="A4" s="99" t="n">
        <x:v>3</x:v>
      </x:c>
      <x:c r="B4" s="16" t="str">
        <x:v>C5</x:v>
      </x:c>
      <x:c r="C4" s="16" t="n">
        <x:v>1</x:v>
      </x:c>
      <x:c r="D4" s="16" t="str">
        <x:v>4.7uF - Eth Reference Cap</x:v>
      </x:c>
      <x:c r="E4" s="16" t="str">
        <x:v>Capacitor_SMD:C_0201_0603Metric</x:v>
      </x:c>
      <x:c r="F4" s="16" t="str">
        <x:v>VERIFY</x:v>
      </x:c>
      <x:c r="G4" s="16" t="str">
        <x:v>Murata</x:v>
      </x:c>
      <x:c r="H4" s="16" t="str">
        <x:v>GRM033R60J475ME05D</x:v>
      </x:c>
      <x:c r="I4" s="16" t="str"/>
      <x:c r="J4" s="16" t="str">
        <x:v>0201</x:v>
      </x:c>
      <x:c r="K4" s="16" t="str">
        <x:v>4.7 µF, 6.3 V, X5R, ±20%</x:v>
      </x:c>
      <x:c r="L4" s="16" t="str">
        <x:v>Available, specialty/high-capacitance 0201</x:v>
      </x:c>
      <x:c r="M4" s="16" t="str">
        <x:v>Drop-in</x:v>
      </x:c>
      <x:c r="N4" s="16" t="str">
        <x:v>Samsung Electro-Mechanics — CL03A475MQ3CSNC</x:v>
      </x:c>
      <x:c r="O4" s="16" t="str">
        <x:v>Drop-in</x:v>
      </x:c>
      <x:c r="P4" s="16" t="str">
        <x:v>TDK — C0603X5R0J475M030BC</x:v>
      </x:c>
      <x:c r="Q4" s="16" t="str">
        <x:v>Drop-in</x:v>
      </x:c>
      <x:c r="R4" s="16" t="str">
        <x:v>Taiyo Yuden — JMK063BJ475MP-F</x:v>
      </x:c>
      <x:c r="S4" s="16" t="str">
        <x:v>Drop-in</x:v>
      </x:c>
      <x:c r="T4" s="16" t="str">
        <x:v>4.7 µF in 0201 is specialty and strongly DC-bias dependent. Confirm the W5500 reference node voltage and effective capacitance; 0402/0603 is safer if layout permits. Check effective capacitance under DC bias; 0201 assembly is less forgiving.</x:v>
      </x:c>
      <x:c r="U4" s="112" t="str">
        <x:v>https://www.digikey.com/en/products/detail/murata-electronics/GRM033R60J475ME05D/16033659</x:v>
      </x:c>
      <x:c r="V4" s="113" t="str"/>
    </x:row>
    <x:row r="5">
      <x:c r="A5" s="99" t="n">
        <x:v>4</x:v>
      </x:c>
      <x:c r="B5" s="16" t="str">
        <x:v>C6</x:v>
      </x:c>
      <x:c r="C5" s="16" t="n">
        <x:v>1</x:v>
      </x:c>
      <x:c r="D5" s="16" t="str">
        <x:v>22nF</x:v>
      </x:c>
      <x:c r="E5" s="16" t="str">
        <x:v>Capacitor_SMD:C_0201_0603Metric</x:v>
      </x:c>
      <x:c r="F5" s="16" t="str">
        <x:v>READY</x:v>
      </x:c>
      <x:c r="G5" s="16" t="str">
        <x:v>Murata</x:v>
      </x:c>
      <x:c r="H5" s="16" t="str">
        <x:v>GRM033R71H223KA12D</x:v>
      </x:c>
      <x:c r="I5" s="16" t="str"/>
      <x:c r="J5" s="16" t="str">
        <x:v>0201</x:v>
      </x:c>
      <x:c r="K5" s="16" t="str">
        <x:v>22 nF, 50 V, X7R, ±10%</x:v>
      </x:c>
      <x:c r="L5" s="16" t="str">
        <x:v>High / commodity</x:v>
      </x:c>
      <x:c r="M5" s="16" t="str">
        <x:v>Drop-in</x:v>
      </x:c>
      <x:c r="N5" s="16" t="str">
        <x:v>TDK — C0603X7R1H223K030BA</x:v>
      </x:c>
      <x:c r="O5" s="16" t="str">
        <x:v>Drop-in</x:v>
      </x:c>
      <x:c r="P5" s="16" t="str">
        <x:v>Samsung Electro-Mechanics — CL03B223KB3NNNC</x:v>
      </x:c>
      <x:c r="Q5" s="16" t="str">
        <x:v>Drop-in</x:v>
      </x:c>
      <x:c r="R5" s="16" t="str">
        <x:v>Yageo — CC0201KRX7R9BB223</x:v>
      </x:c>
      <x:c r="S5" s="16" t="str">
        <x:v>Drop-in</x:v>
      </x:c>
      <x:c r="T5" s="16" t="str">
        <x:v>Commodity X7R. Keep 50 V rating for margin.</x:v>
      </x:c>
      <x:c r="U5" s="112" t="str">
        <x:v>https://www.digikey.com/en/products/result?keywords=GRM033R71H223KA12D</x:v>
      </x:c>
      <x:c r="V5" s="113" t="str"/>
    </x:row>
    <x:row r="6">
      <x:c r="A6" s="99" t="n">
        <x:v>5</x:v>
      </x:c>
      <x:c r="B6" s="16" t="str">
        <x:v>C9</x:v>
      </x:c>
      <x:c r="C6" s="16" t="n">
        <x:v>1</x:v>
      </x:c>
      <x:c r="D6" s="16" t="str">
        <x:v>100uF - Electrolytic</x:v>
      </x:c>
      <x:c r="E6" s="16" t="str">
        <x:v>Capacitor_SMD:C_Elec_6.3x7.7</x:v>
      </x:c>
      <x:c r="F6" s="16" t="str">
        <x:v>VERIFY</x:v>
      </x:c>
      <x:c r="G6" s="16" t="str">
        <x:v>Panasonic</x:v>
      </x:c>
      <x:c r="H6" s="16" t="str">
        <x:v>EEE-FK1E101P</x:v>
      </x:c>
      <x:c r="I6" s="16" t="str"/>
      <x:c r="J6" s="16" t="str">
        <x:v>6.3 x 7.7 mm SMD can</x:v>
      </x:c>
      <x:c r="K6" s="16" t="str">
        <x:v>100 µF, 25 V, low-ESR aluminum electrolytic</x:v>
      </x:c>
      <x:c r="L6" s="16" t="str">
        <x:v>High</x:v>
      </x:c>
      <x:c r="M6" s="16" t="str">
        <x:v>Mechanical match; verify land pattern</x:v>
      </x:c>
      <x:c r="N6" s="16" t="str">
        <x:v>Nichicon — UWT1E101MCL1GS</x:v>
      </x:c>
      <x:c r="O6" s="16" t="str">
        <x:v>Mechanical match; verify land pattern</x:v>
      </x:c>
      <x:c r="P6" s="16" t="str">
        <x:v>United Chemi-Con — EMVE250ADA101MF80G</x:v>
      </x:c>
      <x:c r="Q6" s="16" t="str">
        <x:v>Mechanical match; verify land pattern</x:v>
      </x:c>
      <x:c r="R6" s="16" t="str">
        <x:v>Rubycon — 25SEV100M6.3X8</x:v>
      </x:c>
      <x:c r="S6" s="16" t="str">
        <x:v>Verify land pattern and height</x:v>
      </x:c>
      <x:c r="T6" s="16" t="str">
        <x:v>Assumed 12 V input bulk capacitor; use ≥25 V and verify ESR/ripple-current and exact 6.3 x 7.7 mm land pattern.</x:v>
      </x:c>
      <x:c r="U6" s="112" t="str">
        <x:v>https://www.digikey.com/en/products/result?keywords=EEE-FK1E101P</x:v>
      </x:c>
      <x:c r="V6" s="113" t="str"/>
    </x:row>
    <x:row r="7">
      <x:c r="A7" s="99" t="n">
        <x:v>6</x:v>
      </x:c>
      <x:c r="B7" s="16" t="str">
        <x:v>C10</x:v>
      </x:c>
      <x:c r="C7" s="16" t="n">
        <x:v>1</x:v>
      </x:c>
      <x:c r="D7" s="16" t="str">
        <x:v>100nF - Ceramic</x:v>
      </x:c>
      <x:c r="E7" s="16" t="str">
        <x:v>Capacitor_SMD:C_0603_1608Metric</x:v>
      </x:c>
      <x:c r="F7" s="16" t="str">
        <x:v>READY</x:v>
      </x:c>
      <x:c r="G7" s="16" t="str">
        <x:v>Yageo</x:v>
      </x:c>
      <x:c r="H7" s="16" t="str">
        <x:v>CC0603KRX7R9BB104</x:v>
      </x:c>
      <x:c r="I7" s="16" t="str"/>
      <x:c r="J7" s="16" t="str">
        <x:v>0603</x:v>
      </x:c>
      <x:c r="K7" s="16" t="str">
        <x:v>100 nF, 50 V, X7R, ±10%</x:v>
      </x:c>
      <x:c r="L7" s="16" t="str">
        <x:v>High / commodity</x:v>
      </x:c>
      <x:c r="M7" s="16" t="str">
        <x:v>Drop-in</x:v>
      </x:c>
      <x:c r="N7" s="16" t="str">
        <x:v>Murata — GRM188R71H104KA93D</x:v>
      </x:c>
      <x:c r="O7" s="16" t="str">
        <x:v>Drop-in</x:v>
      </x:c>
      <x:c r="P7" s="16" t="str">
        <x:v>TDK — C1608X7R1H104K080AA</x:v>
      </x:c>
      <x:c r="Q7" s="16" t="str">
        <x:v>Drop-in</x:v>
      </x:c>
      <x:c r="R7" s="16" t="str">
        <x:v>Samsung Electro-Mechanics — CL10B104KB8NNNC</x:v>
      </x:c>
      <x:c r="S7" s="16" t="str">
        <x:v>Drop-in</x:v>
      </x:c>
      <x:c r="T7" s="16" t="str">
        <x:v>Commodity 50 V X7R.</x:v>
      </x:c>
      <x:c r="U7" s="112" t="str">
        <x:v>https://www.digikey.com/en/products/result?keywords=CC0603KRX7R9BB104</x:v>
      </x:c>
      <x:c r="V7" s="113" t="str"/>
    </x:row>
    <x:row r="8">
      <x:c r="A8" s="99" t="n">
        <x:v>7</x:v>
      </x:c>
      <x:c r="B8" s="16" t="str">
        <x:v>C17,C19</x:v>
      </x:c>
      <x:c r="C8" s="16" t="n">
        <x:v>2</x:v>
      </x:c>
      <x:c r="D8" s="16" t="str">
        <x:v>6.8nF</x:v>
      </x:c>
      <x:c r="E8" s="16" t="str">
        <x:v>Capacitor_SMD:C_0201_0603Metric</x:v>
      </x:c>
      <x:c r="F8" s="16" t="str">
        <x:v>READY</x:v>
      </x:c>
      <x:c r="G8" s="16" t="str">
        <x:v>Murata</x:v>
      </x:c>
      <x:c r="H8" s="16" t="str">
        <x:v>GRM033R71H682KA12D</x:v>
      </x:c>
      <x:c r="I8" s="16" t="str"/>
      <x:c r="J8" s="16" t="str">
        <x:v>0201</x:v>
      </x:c>
      <x:c r="K8" s="16" t="str">
        <x:v>6.8 nF, 50 V, X7R, ±10%</x:v>
      </x:c>
      <x:c r="L8" s="16" t="str">
        <x:v>High / commodity</x:v>
      </x:c>
      <x:c r="M8" s="16" t="str">
        <x:v>Drop-in</x:v>
      </x:c>
      <x:c r="N8" s="16" t="str">
        <x:v>TDK — C0603X7R1H682K030BA</x:v>
      </x:c>
      <x:c r="O8" s="16" t="str">
        <x:v>Drop-in</x:v>
      </x:c>
      <x:c r="P8" s="16" t="str">
        <x:v>Samsung Electro-Mechanics — CL03B682KB3NNNC</x:v>
      </x:c>
      <x:c r="Q8" s="16" t="str">
        <x:v>Drop-in</x:v>
      </x:c>
      <x:c r="R8" s="16" t="str">
        <x:v>Yageo — CC0201KRX7R9BB682</x:v>
      </x:c>
      <x:c r="S8" s="16" t="str">
        <x:v>Drop-in</x:v>
      </x:c>
      <x:c r="T8" s="16" t="str">
        <x:v>Commodity X7R; verify W5500 network value against schematic.</x:v>
      </x:c>
      <x:c r="U8" s="112" t="str">
        <x:v>https://www.digikey.com/en/products/result?keywords=GRM033R71H682KA12D</x:v>
      </x:c>
      <x:c r="V8" s="113" t="str"/>
    </x:row>
    <x:row r="9">
      <x:c r="A9" s="99" t="n">
        <x:v>8</x:v>
      </x:c>
      <x:c r="B9" s="16" t="str">
        <x:v>C18</x:v>
      </x:c>
      <x:c r="C9" s="16" t="n">
        <x:v>1</x:v>
      </x:c>
      <x:c r="D9" s="16" t="str">
        <x:v>10uF / 16V</x:v>
      </x:c>
      <x:c r="E9" s="16" t="str">
        <x:v>Capacitor_SMD:C_0805_2012Metric</x:v>
      </x:c>
      <x:c r="F9" s="16" t="str">
        <x:v>READY</x:v>
      </x:c>
      <x:c r="G9" s="16" t="str">
        <x:v>Samsung Electro-Mechanics</x:v>
      </x:c>
      <x:c r="H9" s="16" t="str">
        <x:v>CL21A106KOQNNNE</x:v>
      </x:c>
      <x:c r="I9" s="16" t="str"/>
      <x:c r="J9" s="16" t="str">
        <x:v>0805</x:v>
      </x:c>
      <x:c r="K9" s="16" t="str">
        <x:v>10 µF, 16 V, X5R, ±10%</x:v>
      </x:c>
      <x:c r="L9" s="16" t="str">
        <x:v>Medium; exact Samsung listing varies</x:v>
      </x:c>
      <x:c r="M9" s="16" t="str">
        <x:v>Drop-in</x:v>
      </x:c>
      <x:c r="N9" s="16" t="str">
        <x:v>Murata — GRM21BR61C106KE15L</x:v>
      </x:c>
      <x:c r="O9" s="16" t="str">
        <x:v>Drop-in</x:v>
      </x:c>
      <x:c r="P9" s="16" t="str">
        <x:v>TDK — C2012X5R1C106K125AC</x:v>
      </x:c>
      <x:c r="Q9" s="16" t="str">
        <x:v>Drop-in</x:v>
      </x:c>
      <x:c r="R9" s="16" t="str">
        <x:v>Taiyo Yuden — EMK212BBJ106KG-T</x:v>
      </x:c>
      <x:c r="S9" s="16" t="str">
        <x:v>Drop-in</x:v>
      </x:c>
      <x:c r="T9" s="16" t="str">
        <x:v>Use 16 V minimum; evaluate DC-bias derating at the actual rail.</x:v>
      </x:c>
      <x:c r="U9" s="112" t="str">
        <x:v>https://www.digikey.com/en/products/detail/samsung-electro-mechanics/CL21A106KOQNNNE/3886754</x:v>
      </x:c>
      <x:c r="V9" s="113" t="str"/>
    </x:row>
    <x:row r="10">
      <x:c r="A10" s="99" t="n">
        <x:v>9</x:v>
      </x:c>
      <x:c r="B10" s="16" t="str">
        <x:v>C20,C23</x:v>
      </x:c>
      <x:c r="C10" s="16" t="n">
        <x:v>2</x:v>
      </x:c>
      <x:c r="D10" s="16" t="str">
        <x:v>10nF</x:v>
      </x:c>
      <x:c r="E10" s="16" t="str">
        <x:v>Capacitor_SMD:C_0201_0603Metric</x:v>
      </x:c>
      <x:c r="F10" s="16" t="str">
        <x:v>READY</x:v>
      </x:c>
      <x:c r="G10" s="16" t="str">
        <x:v>Murata</x:v>
      </x:c>
      <x:c r="H10" s="16" t="str">
        <x:v>GRM033R71H103KA12D</x:v>
      </x:c>
      <x:c r="I10" s="16" t="str"/>
      <x:c r="J10" s="16" t="str">
        <x:v>0201</x:v>
      </x:c>
      <x:c r="K10" s="16" t="str">
        <x:v>10 nF, 50 V, X7R, ±10%</x:v>
      </x:c>
      <x:c r="L10" s="16" t="str">
        <x:v>High / commodity</x:v>
      </x:c>
      <x:c r="M10" s="16" t="str">
        <x:v>Drop-in</x:v>
      </x:c>
      <x:c r="N10" s="16" t="str">
        <x:v>TDK — C0603X7R1H103K030BB</x:v>
      </x:c>
      <x:c r="O10" s="16" t="str">
        <x:v>Drop-in</x:v>
      </x:c>
      <x:c r="P10" s="16" t="str">
        <x:v>Samsung Electro-Mechanics — CL03B103KB3NNNC</x:v>
      </x:c>
      <x:c r="Q10" s="16" t="str">
        <x:v>Drop-in</x:v>
      </x:c>
      <x:c r="R10" s="16" t="str">
        <x:v>Yageo — CC0201KRX7R9BB103</x:v>
      </x:c>
      <x:c r="S10" s="16" t="str">
        <x:v>Drop-in</x:v>
      </x:c>
      <x:c r="T10" s="16" t="str">
        <x:v>Commodity X7R.</x:v>
      </x:c>
      <x:c r="U10" s="112" t="str">
        <x:v>https://www.digikey.com/en/products/result?keywords=GRM033R71H103KA12D</x:v>
      </x:c>
      <x:c r="V10" s="113" t="str"/>
    </x:row>
    <x:row r="11">
      <x:c r="A11" s="99" t="n">
        <x:v>10</x:v>
      </x:c>
      <x:c r="B11" s="16" t="str">
        <x:v>C21,C22</x:v>
      </x:c>
      <x:c r="C11" s="16" t="n">
        <x:v>2</x:v>
      </x:c>
      <x:c r="D11" s="16" t="str">
        <x:v>18pF</x:v>
      </x:c>
      <x:c r="E11" s="16" t="str">
        <x:v>Capacitor_SMD:C_0201_0603Metric</x:v>
      </x:c>
      <x:c r="F11" s="16" t="str">
        <x:v>READY</x:v>
      </x:c>
      <x:c r="G11" s="16" t="str">
        <x:v>Murata</x:v>
      </x:c>
      <x:c r="H11" s="16" t="str">
        <x:v>GRM0335C1H180JA01D</x:v>
      </x:c>
      <x:c r="I11" s="16" t="str"/>
      <x:c r="J11" s="16" t="str">
        <x:v>0201</x:v>
      </x:c>
      <x:c r="K11" s="16" t="str">
        <x:v>18 pF, 50 V, C0G/NP0, ±5%</x:v>
      </x:c>
      <x:c r="L11" s="16" t="str">
        <x:v>High / commodity</x:v>
      </x:c>
      <x:c r="M11" s="16" t="str">
        <x:v>Drop-in</x:v>
      </x:c>
      <x:c r="N11" s="16" t="str">
        <x:v>TDK — C0603C0G1H180J030BA</x:v>
      </x:c>
      <x:c r="O11" s="16" t="str">
        <x:v>Drop-in</x:v>
      </x:c>
      <x:c r="P11" s="16" t="str">
        <x:v>Samsung Electro-Mechanics — CL03C180JB3NNNC</x:v>
      </x:c>
      <x:c r="Q11" s="16" t="str">
        <x:v>Drop-in</x:v>
      </x:c>
      <x:c r="R11" s="16" t="str">
        <x:v>Yageo — CC0201JRNPO9BN180</x:v>
      </x:c>
      <x:c r="S11" s="16" t="str">
        <x:v>Drop-in</x:v>
      </x:c>
      <x:c r="T11" s="16" t="str">
        <x:v>Use C0G/NP0 for crystal load capacitors.</x:v>
      </x:c>
      <x:c r="U11" s="112" t="str">
        <x:v>https://www.digikey.com/en/products/result?keywords=GRM0335C1H180JA01D</x:v>
      </x:c>
      <x:c r="V11" s="113" t="str"/>
    </x:row>
    <x:row r="12">
      <x:c r="A12" s="99" t="n">
        <x:v>11</x:v>
      </x:c>
      <x:c r="B12" s="16" t="str">
        <x:v>C24</x:v>
      </x:c>
      <x:c r="C12" s="16" t="n">
        <x:v>1</x:v>
      </x:c>
      <x:c r="D12" s="16" t="str">
        <x:v>1uF - Ceramic</x:v>
      </x:c>
      <x:c r="E12" s="16" t="str">
        <x:v>Capacitor_SMD:C_0805_2012Metric</x:v>
      </x:c>
      <x:c r="F12" s="16" t="str">
        <x:v>READY</x:v>
      </x:c>
      <x:c r="G12" s="16" t="str">
        <x:v>Samsung Electro-Mechanics</x:v>
      </x:c>
      <x:c r="H12" s="16" t="str">
        <x:v>CL21A105KAFNNNE</x:v>
      </x:c>
      <x:c r="I12" s="16" t="str"/>
      <x:c r="J12" s="16" t="str">
        <x:v>0805</x:v>
      </x:c>
      <x:c r="K12" s="16" t="str">
        <x:v>1 µF, 25 V, X5R, ±10%</x:v>
      </x:c>
      <x:c r="L12" s="16" t="str">
        <x:v>High / commodity</x:v>
      </x:c>
      <x:c r="M12" s="16" t="str">
        <x:v>Drop-in</x:v>
      </x:c>
      <x:c r="N12" s="16" t="str">
        <x:v>Murata — GRM21BR71E105KA99L</x:v>
      </x:c>
      <x:c r="O12" s="16" t="str">
        <x:v>Drop-in</x:v>
      </x:c>
      <x:c r="P12" s="16" t="str">
        <x:v>TDK — C2012X7R1E105K125AB</x:v>
      </x:c>
      <x:c r="Q12" s="16" t="str">
        <x:v>Drop-in</x:v>
      </x:c>
      <x:c r="R12" s="16" t="str">
        <x:v>Taiyo Yuden — TMK212B7105KG-T</x:v>
      </x:c>
      <x:c r="S12" s="16" t="str">
        <x:v>Drop-in</x:v>
      </x:c>
      <x:c r="T12" s="16" t="str">
        <x:v>25 V X7R preferred for broad reuse.</x:v>
      </x:c>
      <x:c r="U12" s="112" t="str">
        <x:v>https://www.digikey.com/en/products/result?keywords=CL21A105KAFNNNE</x:v>
      </x:c>
      <x:c r="V12" s="113" t="str"/>
    </x:row>
    <x:row r="13">
      <x:c r="A13" s="99" t="n">
        <x:v>12</x:v>
      </x:c>
      <x:c r="B13" s="16" t="str">
        <x:v>C25</x:v>
      </x:c>
      <x:c r="C13" s="16" t="n">
        <x:v>1</x:v>
      </x:c>
      <x:c r="D13" s="16" t="str">
        <x:v>100nF</x:v>
      </x:c>
      <x:c r="E13" s="16" t="str">
        <x:v>Capacitor_SMD:C_0201_0603Metric</x:v>
      </x:c>
      <x:c r="F13" s="16" t="str">
        <x:v>READY</x:v>
      </x:c>
      <x:c r="G13" s="16" t="str">
        <x:v>Murata</x:v>
      </x:c>
      <x:c r="H13" s="16" t="str">
        <x:v>GRM033R71E104KE14D</x:v>
      </x:c>
      <x:c r="I13" s="16" t="str"/>
      <x:c r="J13" s="16" t="str">
        <x:v>0201</x:v>
      </x:c>
      <x:c r="K13" s="16" t="str">
        <x:v>100 nF, 25 V, X7R, ±10%</x:v>
      </x:c>
      <x:c r="L13" s="16" t="str">
        <x:v>High / commodity</x:v>
      </x:c>
      <x:c r="M13" s="16" t="str">
        <x:v>Drop-in</x:v>
      </x:c>
      <x:c r="N13" s="16" t="str">
        <x:v>TDK — C0603X7R1E104K030BB</x:v>
      </x:c>
      <x:c r="O13" s="16" t="str">
        <x:v>Drop-in</x:v>
      </x:c>
      <x:c r="P13" s="16" t="str">
        <x:v>Samsung Electro-Mechanics — CL03B104KA3NNNC</x:v>
      </x:c>
      <x:c r="Q13" s="16" t="str">
        <x:v>Drop-in</x:v>
      </x:c>
      <x:c r="R13" s="16" t="str">
        <x:v>Yageo — CC0201KRX7R8BB104</x:v>
      </x:c>
      <x:c r="S13" s="16" t="str">
        <x:v>Drop-in</x:v>
      </x:c>
      <x:c r="T13" s="16" t="str">
        <x:v>Commodity X7R.</x:v>
      </x:c>
      <x:c r="U13" s="112" t="str">
        <x:v>https://www.digikey.com/en/products/result?keywords=GRM033R71E104KE14D</x:v>
      </x:c>
      <x:c r="V13" s="113" t="str"/>
    </x:row>
    <x:row r="14">
      <x:c r="A14" s="99" t="n">
        <x:v>13</x:v>
      </x:c>
      <x:c r="B14" s="16" t="str">
        <x:v>C30,C31</x:v>
      </x:c>
      <x:c r="C14" s="16" t="n">
        <x:v>2</x:v>
      </x:c>
      <x:c r="D14" s="16" t="str">
        <x:v>22uF</x:v>
      </x:c>
      <x:c r="E14" s="16" t="str">
        <x:v>Capacitor_SMD:C_0805_2012Metric</x:v>
      </x:c>
      <x:c r="F14" s="16" t="str">
        <x:v>BLOCKER</x:v>
      </x:c>
      <x:c r="G14" s="16" t="str">
        <x:v>Murata</x:v>
      </x:c>
      <x:c r="H14" s="16" t="str">
        <x:v>GRM21BR61A226ME44K</x:v>
      </x:c>
      <x:c r="I14" s="16" t="str"/>
      <x:c r="J14" s="16" t="str">
        <x:v>0805</x:v>
      </x:c>
      <x:c r="K14" s="16" t="str">
        <x:v>22 µF, 10 V, X5R, ±20%</x:v>
      </x:c>
      <x:c r="L14" s="16" t="str">
        <x:v>High</x:v>
      </x:c>
      <x:c r="M14" s="16" t="str">
        <x:v>Drop-in</x:v>
      </x:c>
      <x:c r="N14" s="16" t="str">
        <x:v>TDK — C2012X5R1A226M125AC</x:v>
      </x:c>
      <x:c r="O14" s="16" t="str">
        <x:v>Drop-in</x:v>
      </x:c>
      <x:c r="P14" s="16" t="str">
        <x:v>Taiyo Yuden — LMK212BBJ226MG-T</x:v>
      </x:c>
      <x:c r="Q14" s="16" t="str">
        <x:v>Drop-in</x:v>
      </x:c>
      <x:c r="R14" s="16" t="str">
        <x:v>Kyocera AVX — 0805ZD226MAT2A</x:v>
      </x:c>
      <x:c r="S14" s="16" t="str">
        <x:v>Drop-in</x:v>
      </x:c>
      <x:c r="T14" s="16" t="str">
        <x:v>The listed Samsung MPN is 10 µF, not 22 µF. Replace the MPN and verify 10 V rating/effective capacitance is sufficient. Verify effective capacitance at the actual rail voltage.</x:v>
      </x:c>
      <x:c r="U14" s="112" t="str">
        <x:v>https://www.digikey.com/en/products/detail/murata-electronics/GRM21BR61A226ME44K/26223516</x:v>
      </x:c>
      <x:c r="V14" s="113" t="str">
        <x:v>CL21A106KOQNNNE</x:v>
      </x:c>
    </x:row>
    <x:row r="15">
      <x:c r="A15" s="99" t="n">
        <x:v>14</x:v>
      </x:c>
      <x:c r="B15" s="16" t="str">
        <x:v>C32,C33,C34,C35,C36,C37</x:v>
      </x:c>
      <x:c r="C15" s="16" t="n">
        <x:v>6</x:v>
      </x:c>
      <x:c r="D15" s="16" t="str">
        <x:v>1uF</x:v>
      </x:c>
      <x:c r="E15" s="16" t="str">
        <x:v>Capacitor_SMD:C_0402_1005Metric,Capacitor_SMD:C_0805_2012Metric</x:v>
      </x:c>
      <x:c r="F15" s="16" t="str">
        <x:v>BLOCKER</x:v>
      </x:c>
      <x:c r="G15" s="16" t="str">
        <x:v>Murata</x:v>
      </x:c>
      <x:c r="H15" s="16" t="str">
        <x:v>GRM155R61A105KE15D</x:v>
      </x:c>
      <x:c r="I15" s="16" t="str"/>
      <x:c r="J15" s="16" t="str">
        <x:v>0402</x:v>
      </x:c>
      <x:c r="K15" s="16" t="str">
        <x:v>1 µF, 10 V, X5R, ±10%</x:v>
      </x:c>
      <x:c r="L15" s="16" t="str">
        <x:v>High / commodity</x:v>
      </x:c>
      <x:c r="M15" s="16" t="str">
        <x:v>Drop-in</x:v>
      </x:c>
      <x:c r="N15" s="16" t="str">
        <x:v>Samsung Electro-Mechanics — CL21A105KAFNNNE</x:v>
      </x:c>
      <x:c r="O15" s="16" t="str">
        <x:v>Drop-in</x:v>
      </x:c>
      <x:c r="P15" s="16" t="str">
        <x:v>TDK — C1005X5R1A105K050BC</x:v>
      </x:c>
      <x:c r="Q15" s="16" t="str">
        <x:v>Drop-in</x:v>
      </x:c>
      <x:c r="R15" s="16" t="str">
        <x:v>Murata — GRM21BR71E105KA99L</x:v>
      </x:c>
      <x:c r="S15" s="16" t="str">
        <x:v>Drop-in</x:v>
      </x:c>
      <x:c r="T15" s="16" t="str">
        <x:v>Split 0402 and 0805 references into separate BOM lines.</x:v>
      </x:c>
      <x:c r="U15" s="112" t="str">
        <x:v>https://www.digikey.com/en/products/result?keywords=GRM155R61A105KE15D</x:v>
      </x:c>
      <x:c r="V15" s="113" t="str"/>
    </x:row>
    <x:row r="16">
      <x:c r="A16" s="99" t="n">
        <x:v>15</x:v>
      </x:c>
      <x:c r="B16" s="16" t="str">
        <x:v>D1,D2,D3,D4,D5</x:v>
      </x:c>
      <x:c r="C16" s="16" t="n">
        <x:v>5</x:v>
      </x:c>
      <x:c r="D16" s="16" t="str">
        <x:v>LED VO-PT2012SEAC</x:v>
      </x:c>
      <x:c r="E16" s="16" t="str">
        <x:v>LED_SMD:LED_0201_0603Metric</x:v>
      </x:c>
      <x:c r="F16" s="16" t="str">
        <x:v>BLOCKER</x:v>
      </x:c>
      <x:c r="G16" s="16" t="str">
        <x:v>Lite-On</x:v>
      </x:c>
      <x:c r="H16" s="16" t="str">
        <x:v>LTST-FC03AD-5A</x:v>
      </x:c>
      <x:c r="I16" s="16" t="str">
        <x:v>C20617265</x:v>
      </x:c>
      <x:c r="J16" s="16" t="str">
        <x:v>LED 0201</x:v>
      </x:c>
      <x:c r="K16" s="16" t="str">
        <x:v>Amber/yellow indicator LED; verify Vf and polarity</x:v>
      </x:c>
      <x:c r="L16" s="16" t="str">
        <x:v>JLC listing; check order-time stock</x:v>
      </x:c>
      <x:c r="M16" s="16" t="str">
        <x:v>Drop-in</x:v>
      </x:c>
      <x:c r="N16" s="16" t="str">
        <x:v>Lite-On — LTST-FC03ED-5A</x:v>
      </x:c>
      <x:c r="O16" s="16" t="str">
        <x:v>Drop-in</x:v>
      </x:c>
      <x:c r="P16" s="16" t="str">
        <x:v>Lite-On — LTST-FC03BD-5A</x:v>
      </x:c>
      <x:c r="Q16" s="16" t="str">
        <x:v>Drop-in</x:v>
      </x:c>
      <x:c r="R16" s="16" t="str">
        <x:v>Everlight — CSP0603AN101-IBP20200453001-3T</x:v>
      </x:c>
      <x:c r="S16" s="16" t="str">
        <x:v>Drop-in</x:v>
      </x:c>
      <x:c r="T16" s="16" t="str">
        <x:v>VO-PT2012SEAC is a 2012/0805 LED and cannot fit the 0201 footprint. The candidates are actual 0201 LEDs; confirm desired color and resistor current.</x:v>
      </x:c>
      <x:c r="U16" s="112" t="str">
        <x:v>https://jlcpcb.com/partdetail/LiteOn-LTST_FC03AD5A/C20617265</x:v>
      </x:c>
      <x:c r="V16" s="113" t="str"/>
    </x:row>
    <x:row r="17">
      <x:c r="A17" s="99" t="n">
        <x:v>16</x:v>
      </x:c>
      <x:c r="B17" s="16" t="str">
        <x:v>D6</x:v>
      </x:c>
      <x:c r="C17" s="16" t="n">
        <x:v>1</x:v>
      </x:c>
      <x:c r="D17" s="16" t="str">
        <x:v>LED</x:v>
      </x:c>
      <x:c r="E17" s="16" t="str">
        <x:v>LED_SMD:LED_0201_0603Metric</x:v>
      </x:c>
      <x:c r="F17" s="16" t="str">
        <x:v>VERIFY</x:v>
      </x:c>
      <x:c r="G17" s="16" t="str">
        <x:v>Lite-On</x:v>
      </x:c>
      <x:c r="H17" s="16" t="str">
        <x:v>LTST-FC03ED-5A</x:v>
      </x:c>
      <x:c r="I17" s="16" t="str">
        <x:v>C20617267</x:v>
      </x:c>
      <x:c r="J17" s="16" t="str">
        <x:v>LED 0201</x:v>
      </x:c>
      <x:c r="K17" s="16" t="str">
        <x:v>Red indicator LED; verify desired color</x:v>
      </x:c>
      <x:c r="L17" s="16" t="str">
        <x:v>JLC listing; check order-time stock</x:v>
      </x:c>
      <x:c r="M17" s="16" t="str">
        <x:v>Drop-in</x:v>
      </x:c>
      <x:c r="N17" s="16" t="str">
        <x:v>Lite-On — LTST-FC03AD-5A</x:v>
      </x:c>
      <x:c r="O17" s="16" t="str">
        <x:v>Drop-in</x:v>
      </x:c>
      <x:c r="P17" s="16" t="str">
        <x:v>Lite-On — LTST-FC03BD-5A</x:v>
      </x:c>
      <x:c r="Q17" s="16" t="str">
        <x:v>Drop-in</x:v>
      </x:c>
      <x:c r="R17" s="16" t="str">
        <x:v>Everlight — CSP0603AN101-IBP20200453001-3T</x:v>
      </x:c>
      <x:c r="S17" s="16" t="str">
        <x:v>Drop-in</x:v>
      </x:c>
      <x:c r="T17" s="16" t="str">
        <x:v>No color specified. Pick a 0201 LED color and verify polarity/Vf with the series resistor.</x:v>
      </x:c>
      <x:c r="U17" s="112" t="str">
        <x:v>https://jlcpcb.com/partdetail/LiteOn-LTST_FC03ED5A/C20617267</x:v>
      </x:c>
      <x:c r="V17" s="113" t="str"/>
    </x:row>
    <x:row r="18">
      <x:c r="A18" s="99" t="n">
        <x:v>17</x:v>
      </x:c>
      <x:c r="B18" s="16" t="str">
        <x:v>F1,F2,F5</x:v>
      </x:c>
      <x:c r="C18" s="16" t="n">
        <x:v>3</x:v>
      </x:c>
      <x:c r="D18" s="16" t="str">
        <x:v>0685T5000</x:v>
      </x:c>
      <x:c r="E18" s="16" t="str">
        <x:v>Fuse:Fuse_0805_2012Metric</x:v>
      </x:c>
      <x:c r="F18" s="16" t="str">
        <x:v>BLOCKER</x:v>
      </x:c>
      <x:c r="G18" s="16" t="str">
        <x:v>Bel Fuse</x:v>
      </x:c>
      <x:c r="H18" s="16" t="str">
        <x:v>0685T5000-01</x:v>
      </x:c>
      <x:c r="I18" s="16" t="str"/>
      <x:c r="J18" s="16" t="str">
        <x:v>1206</x:v>
      </x:c>
      <x:c r="K18" s="16" t="str">
        <x:v>5 A, 63 V AC/DC, time-delay fuse</x:v>
      </x:c>
      <x:c r="L18" s="16" t="str">
        <x:v>Very high distributor stock; JLC order-time check; ~$0.45-$0.80</x:v>
      </x:c>
      <x:c r="M18" s="16" t="str">
        <x:v>Layout change: current BOM footprint is 0805</x:v>
      </x:c>
      <x:c r="N18" s="16" t="str">
        <x:v>Bourns — SF-1206S500-2</x:v>
      </x:c>
      <x:c r="O18" s="16" t="str">
        <x:v>Layout change: 1206</x:v>
      </x:c>
      <x:c r="P18" s="16" t="str">
        <x:v>Eaton — CC12H5A-TR</x:v>
      </x:c>
      <x:c r="Q18" s="16" t="str">
        <x:v>Layout change: 1206</x:v>
      </x:c>
      <x:c r="R18" s="16" t="str">
        <x:v>Littelfuse — 0467005.NRHF</x:v>
      </x:c>
      <x:c r="S18" s="16" t="str">
        <x:v>Layout change: 1206</x:v>
      </x:c>
      <x:c r="T18" s="16" t="str">
        <x:v>Bel 0685T5000 is a 1206-family fuse, not 0805. Change footprint to 1206 and verify slow-blow behavior/interrupt rating.</x:v>
      </x:c>
      <x:c r="U18" s="112" t="str">
        <x:v>https://www.digikey.com/en/products/detail/bel-fuse-inc/0685T5000-01/4967966</x:v>
      </x:c>
      <x:c r="V18" s="113" t="str"/>
    </x:row>
    <x:row r="19">
      <x:c r="A19" s="99" t="n">
        <x:v>18</x:v>
      </x:c>
      <x:c r="B19" s="16" t="str">
        <x:v>F3,F4</x:v>
      </x:c>
      <x:c r="C19" s="16" t="n">
        <x:v>2</x:v>
      </x:c>
      <x:c r="D19" s="16" t="str">
        <x:v>0685T5000-01</x:v>
      </x:c>
      <x:c r="E19" s="16" t="str">
        <x:v>Fuse:Fuse_0805_2012Metric</x:v>
      </x:c>
      <x:c r="F19" s="16" t="str">
        <x:v>BLOCKER</x:v>
      </x:c>
      <x:c r="G19" s="16" t="str">
        <x:v>Bel Fuse</x:v>
      </x:c>
      <x:c r="H19" s="16" t="str">
        <x:v>0685T5000-01</x:v>
      </x:c>
      <x:c r="I19" s="16" t="str"/>
      <x:c r="J19" s="16" t="str">
        <x:v>1206</x:v>
      </x:c>
      <x:c r="K19" s="16" t="str">
        <x:v>5 A, 63 V AC/DC, time-delay fuse</x:v>
      </x:c>
      <x:c r="L19" s="16" t="str">
        <x:v>Very high distributor stock; JLC order-time check; ~$0.45-$0.80</x:v>
      </x:c>
      <x:c r="M19" s="16" t="str">
        <x:v>Layout change: current BOM footprint is 0805</x:v>
      </x:c>
      <x:c r="N19" s="16" t="str">
        <x:v>Bourns — SF-1206S500-2</x:v>
      </x:c>
      <x:c r="O19" s="16" t="str">
        <x:v>Layout change: 1206</x:v>
      </x:c>
      <x:c r="P19" s="16" t="str">
        <x:v>Eaton — CC12H5A-TR</x:v>
      </x:c>
      <x:c r="Q19" s="16" t="str">
        <x:v>Layout change: 1206</x:v>
      </x:c>
      <x:c r="R19" s="16" t="str">
        <x:v>Littelfuse — 0467005.NRHF</x:v>
      </x:c>
      <x:c r="S19" s="16" t="str">
        <x:v>Layout change: 1206</x:v>
      </x:c>
      <x:c r="T19" s="16" t="str">
        <x:v>0685T5000-01 is 1206, not 0805. Change footprint to 1206.</x:v>
      </x:c>
      <x:c r="U19" s="112" t="str">
        <x:v>https://www.digikey.com/en/products/detail/bel-fuse-inc/0685T5000-01/4967966</x:v>
      </x:c>
      <x:c r="V19" s="113" t="str"/>
    </x:row>
    <x:row r="20">
      <x:c r="A20" s="99" t="n">
        <x:v>19</x:v>
      </x:c>
      <x:c r="B20" s="16" t="str">
        <x:v>J1</x:v>
      </x:c>
      <x:c r="C20" s="16" t="n">
        <x:v>1</x:v>
      </x:c>
      <x:c r="D20" s="16" t="str">
        <x:v>12</x:v>
      </x:c>
      <x:c r="E20" s="16" t="str">
        <x:v>Connector_BarrelJack:BarrelJack_CUI_PJ-102AH_Horizontal</x:v>
      </x:c>
      <x:c r="F20" s="16" t="str">
        <x:v>VERIFY</x:v>
      </x:c>
      <x:c r="G20" s="16" t="str">
        <x:v>Same Sky / CUI Devices</x:v>
      </x:c>
      <x:c r="H20" s="16" t="str">
        <x:v>PJ-102AH</x:v>
      </x:c>
      <x:c r="I20" s="16" t="str">
        <x:v>C9900001188</x:v>
      </x:c>
      <x:c r="J20" s="16" t="str">
        <x:v>THT horizontal barrel jack</x:v>
      </x:c>
      <x:c r="K20" s="16" t="str">
        <x:v>2.0 mm center pin, switched contact; verify adapter plug/current</x:v>
      </x:c>
      <x:c r="L20" s="16" t="str">
        <x:v>Available at distributors; JLC extended/preorder</x:v>
      </x:c>
      <x:c r="M20" s="16" t="str">
        <x:v>Drop-in</x:v>
      </x:c>
      <x:c r="N20" s="16" t="str">
        <x:v>GCT — DCJ200-10-A-K1-K</x:v>
      </x:c>
      <x:c r="O20" s="16" t="str">
        <x:v>Mechanical/pinout verification</x:v>
      </x:c>
      <x:c r="P20" s="16" t="str">
        <x:v>Kycon — KLDX-0202-A</x:v>
      </x:c>
      <x:c r="Q20" s="16" t="str">
        <x:v>Layout likely changes</x:v>
      </x:c>
      <x:c r="R20" s="16" t="str">
        <x:v>Same Sky / CUI Devices — PJ-102A</x:v>
      </x:c>
      <x:c r="S20" s="16" t="str">
        <x:v>Layout/pinout verification</x:v>
      </x:c>
      <x:c r="T20" s="16" t="str">
        <x:v>Exact jack can be sourced, but JLC availability may require pre-order/consignment. Confirm adapter plug size, polarity, current, and switched-pin use.</x:v>
      </x:c>
      <x:c r="U20" s="112" t="str">
        <x:v>https://jlcpcb.com/partdetail/CUIDevices-PJ102AH/C9900001188</x:v>
      </x:c>
      <x:c r="V20" s="113" t="str"/>
    </x:row>
    <x:row r="21">
      <x:c r="A21" s="99" t="n">
        <x:v>20</x:v>
      </x:c>
      <x:c r="B21" s="16" t="str">
        <x:v>J2</x:v>
      </x:c>
      <x:c r="C21" s="16" t="n">
        <x:v>1</x:v>
      </x:c>
      <x:c r="D21" s="16" t="str">
        <x:v>RJ45_Hanrun_HR911105A_Horizontal</x:v>
      </x:c>
      <x:c r="E21" s="16" t="str">
        <x:v>Connector_RJ:RJ45_Hanrun_HR911105A_Horizontal</x:v>
      </x:c>
      <x:c r="F21" s="16" t="str">
        <x:v>READY</x:v>
      </x:c>
      <x:c r="G21" s="16" t="str">
        <x:v>HanRun</x:v>
      </x:c>
      <x:c r="H21" s="16" t="str">
        <x:v>HR911105A</x:v>
      </x:c>
      <x:c r="I21" s="16" t="str">
        <x:v>C12074</x:v>
      </x:c>
      <x:c r="J21" s="16" t="str">
        <x:v>THT MagJack</x:v>
      </x:c>
      <x:c r="K21" s="16" t="str">
        <x:v>10/100BASE-T, integrated magnetics and LEDs</x:v>
      </x:c>
      <x:c r="L21" s="16" t="str">
        <x:v>JLC stock reported high; ~$1.49</x:v>
      </x:c>
      <x:c r="M21" s="16" t="str">
        <x:v>Drop-in</x:v>
      </x:c>
      <x:c r="N21" s="16" t="str">
        <x:v>UDE — RB1-125BAG1A</x:v>
      </x:c>
      <x:c r="O21" s="16" t="str">
        <x:v>Mechanical/pinout verification</x:v>
      </x:c>
      <x:c r="P21" s="16" t="str">
        <x:v>Pulse Electronics — J0011D21BNL</x:v>
      </x:c>
      <x:c r="Q21" s="16" t="str">
        <x:v>Layout/pinout change likely</x:v>
      </x:c>
      <x:c r="R21" s="16" t="str">
        <x:v>Würth Elektronik — 7499111121A</x:v>
      </x:c>
      <x:c r="S21" s="16" t="str">
        <x:v>Layout/pinout change likely</x:v>
      </x:c>
      <x:c r="T21" s="16" t="str">
        <x:v>HR911105A is cheap and widely stocked at JLC; alternatives are not guaranteed pin-compatible.</x:v>
      </x:c>
      <x:c r="U21" s="112" t="str">
        <x:v>https://jlcpcb.com/partdetail/HanRun-HR911105A/C12074</x:v>
      </x:c>
      <x:c r="V21" s="113" t="str">
        <x:v>https://datasheet.lcsc.com/lcsc/1811141815_HANRUN-Zhongshan-HanRun-Elec-HR911105A_C12074.pdf</x:v>
      </x:c>
    </x:row>
    <x:row r="22">
      <x:c r="A22" s="99" t="n">
        <x:v>21</x:v>
      </x:c>
      <x:c r="B22" s="16" t="str">
        <x:v>J3</x:v>
      </x:c>
      <x:c r="C22" s="16" t="n">
        <x:v>1</x:v>
      </x:c>
      <x:c r="D22" s="16" t="str">
        <x:v>B4B-PH-SM4-TB</x:v>
      </x:c>
      <x:c r="E22" s="16" t="str">
        <x:v>Connector_PinHeader_2.54mm:PinHeader_1x04_P2.54mm_Vertical</x:v>
      </x:c>
      <x:c r="F22" s="16" t="str">
        <x:v>BLOCKER</x:v>
      </x:c>
      <x:c r="G22" s="16" t="str">
        <x:v>BOOMELE / generic</x:v>
      </x:c>
      <x:c r="H22" s="16" t="str">
        <x:v>2.54-1*4P</x:v>
      </x:c>
      <x:c r="I22" s="16" t="str">
        <x:v>C49257</x:v>
      </x:c>
      <x:c r="J22" s="16" t="str">
        <x:v>1x4, 2.54 mm, vertical THT</x:v>
      </x:c>
      <x:c r="K22" s="16" t="str">
        <x:v>Standard male pin header</x:v>
      </x:c>
      <x:c r="L22" s="16" t="str">
        <x:v>Very high / JLC commodity; &lt;$0.05 typical</x:v>
      </x:c>
      <x:c r="M22" s="16" t="str">
        <x:v>Matches current KiCad footprint; not JST-PH</x:v>
      </x:c>
      <x:c r="N22" s="16" t="str">
        <x:v>Harwin — M20-9990445</x:v>
      </x:c>
      <x:c r="O22" s="16" t="str">
        <x:v>Drop-in mechanical</x:v>
      </x:c>
      <x:c r="P22" s="16" t="str">
        <x:v>Würth Elektronik — 61300411121</x:v>
      </x:c>
      <x:c r="Q22" s="16" t="str">
        <x:v>Drop-in mechanical</x:v>
      </x:c>
      <x:c r="R22" s="16" t="str">
        <x:v>Samtec — TSW-104-07-G-S</x:v>
      </x:c>
      <x:c r="S22" s="16" t="str">
        <x:v>Drop-in mechanical; verify pin length</x:v>
      </x:c>
      <x:c r="T22" s="16" t="str">
        <x:v>B4B-PH-SM4-TB is a 2.0 mm SMT JST-PH header, while the footprint is a 2.54 mm THT pin header. Primary below matches the footprint, not the stated JST part.</x:v>
      </x:c>
      <x:c r="U22" s="112" t="str">
        <x:v>https://www.lcsc.com/search?q=C49257</x:v>
      </x:c>
      <x:c r="V22" s="113" t="str">
        <x:v>B4B-PH-SM4-TB</x:v>
      </x:c>
    </x:row>
    <x:row r="23">
      <x:c r="A23" s="99" t="n">
        <x:v>22</x:v>
      </x:c>
      <x:c r="B23" s="16" t="str">
        <x:v>J10,J11,J12,J13,J14</x:v>
      </x:c>
      <x:c r="C23" s="16" t="n">
        <x:v>5</x:v>
      </x:c>
      <x:c r="D23" s="16" t="str">
        <x:v>Screw_Terminal_01x03</x:v>
      </x:c>
      <x:c r="E23" s="16" t="str">
        <x:v>TerminalBlock:TerminalBlock_MaiXu_MX126-5.0-03P_1x03_P5.00mm</x:v>
      </x:c>
      <x:c r="F23" s="16" t="str">
        <x:v>VERIFY</x:v>
      </x:c>
      <x:c r="G23" s="16" t="str">
        <x:v>MAX / MaiXu</x:v>
      </x:c>
      <x:c r="H23" s="16" t="str">
        <x:v>MX126-5.0-03P-GN01-Cu-S-A</x:v>
      </x:c>
      <x:c r="I23" s="16" t="str">
        <x:v>C5188435</x:v>
      </x:c>
      <x:c r="J23" s="16" t="str">
        <x:v>3-pos THT, 5.00 mm</x:v>
      </x:c>
      <x:c r="K23" s="16" t="str">
        <x:v>10 A, 300 V, 14-26 AWG</x:v>
      </x:c>
      <x:c r="L23" s="16" t="str">
        <x:v>JLC listed; ~$0.10-$0.25</x:v>
      </x:c>
      <x:c r="M23" s="16" t="str">
        <x:v>Drop-in if exact custom footprint</x:v>
      </x:c>
      <x:c r="N23" s="16" t="str">
        <x:v>Degson — DG126-5.0-03P-1400AH</x:v>
      </x:c>
      <x:c r="O23" s="16" t="str">
        <x:v>Verify body/pin dimensions</x:v>
      </x:c>
      <x:c r="P23" s="16" t="str">
        <x:v>On Shore Technology — OSTTA034163</x:v>
      </x:c>
      <x:c r="Q23" s="16" t="str">
        <x:v>Verify body/pin dimensions</x:v>
      </x:c>
      <x:c r="R23" s="16" t="str">
        <x:v>Phoenix Contact — 1935161</x:v>
      </x:c>
      <x:c r="S23" s="16" t="str">
        <x:v>Pitch/layout change: 5.08 mm</x:v>
      </x:c>
      <x:c r="T23" s="16" t="str">
        <x:v>Primary matches the named MaiXu footprint. Verify creepage, wire gauge, current, and terminal orientation for 52 VDC contacts.</x:v>
      </x:c>
      <x:c r="U23" s="112" t="str">
        <x:v>https://jlcpcb.com/partdetail/MAX-MX126_5_003P_GN01_Cu_S_A/C5188435</x:v>
      </x:c>
      <x:c r="V23" s="113" t="str"/>
    </x:row>
    <x:row r="24">
      <x:c r="A24" s="99" t="n">
        <x:v>23</x:v>
      </x:c>
      <x:c r="B24" s="16" t="str">
        <x:v>K10,K11,K12,K13,K14</x:v>
      </x:c>
      <x:c r="C24" s="16" t="n">
        <x:v>5</x:v>
      </x:c>
      <x:c r="D24" s="16" t="str">
        <x:v>G2RL-1-E</x:v>
      </x:c>
      <x:c r="E24" s="16" t="str">
        <x:v>Relay_THT:Relay_SPDT_Omron_G2RL-1-E</x:v>
      </x:c>
      <x:c r="F24" s="16" t="str">
        <x:v>VERIFY</x:v>
      </x:c>
      <x:c r="G24" s="16" t="str">
        <x:v>Omron</x:v>
      </x:c>
      <x:c r="H24" s="16" t="str">
        <x:v>G2RL-1-E-DC12</x:v>
      </x:c>
      <x:c r="I24" s="16" t="str">
        <x:v>C58243</x:v>
      </x:c>
      <x:c r="J24" s="16" t="str">
        <x:v>THT SPDT</x:v>
      </x:c>
      <x:c r="K24" s="16" t="str">
        <x:v>12 V coil; 16 A at 24 VDC resistive; 300 VDC max switching voltage</x:v>
      </x:c>
      <x:c r="L24" s="16" t="str">
        <x:v>JLC stock reported high; ~$1.57</x:v>
      </x:c>
      <x:c r="M24" s="16" t="str">
        <x:v>Drop-in</x:v>
      </x:c>
      <x:c r="N24" s="16" t="str">
        <x:v>Omron — G2RL-1-E-ASI-DC12</x:v>
      </x:c>
      <x:c r="O24" s="16" t="str">
        <x:v>Likely footprint-compatible; verify exact suffix</x:v>
      </x:c>
      <x:c r="P24" s="16" t="str">
        <x:v>TE Connectivity / Schrack — RT314012</x:v>
      </x:c>
      <x:c r="Q24" s="16" t="str">
        <x:v>Layout/pinout change likely; verify DC load rating</x:v>
      </x:c>
      <x:c r="R24" s="16" t="str">
        <x:v>Hongfa — HF115F/012-1ZS3</x:v>
      </x:c>
      <x:c r="S24" s="16" t="str">
        <x:v>Layout/pinout change likely; verify DC load rating</x:v>
      </x:c>
      <x:c r="T24" s="16" t="str">
        <x:v>The selected relay is directly rated at 16 A/24 VDC resistive and lists 300 VDC maximum switching voltage. Qualify 48-52 VDC at 2 A using the DC load curve, actual load type, required life and applicable approvals. 48-52 VDC at 2 A is not the published rated-load point; qualify against the DC load curve, load type, life, and certification.</x:v>
      </x:c>
      <x:c r="U24" s="112" t="str">
        <x:v>https://jlcpcb.com/partdetail/Omron-G2RL_1_E_DC12/C58243</x:v>
      </x:c>
      <x:c r="V24" s="113" t="str">
        <x:v>https://omronfs.omron.com/en_US/ecb/products/pdf/en-g2rl.pdf</x:v>
      </x:c>
    </x:row>
    <x:row r="25">
      <x:c r="A25" s="99" t="n">
        <x:v>24</x:v>
      </x:c>
      <x:c r="B25" s="16" t="str">
        <x:v>L1</x:v>
      </x:c>
      <x:c r="C25" s="16" t="n">
        <x:v>1</x:v>
      </x:c>
      <x:c r="D25" s="16" t="str">
        <x:v>MH1608-121Y</x:v>
      </x:c>
      <x:c r="E25" s="16" t="str">
        <x:v>Library:IND_BOURNS_MH1608</x:v>
      </x:c>
      <x:c r="F25" s="16" t="str">
        <x:v>READY</x:v>
      </x:c>
      <x:c r="G25" s="16" t="str">
        <x:v>Bourns</x:v>
      </x:c>
      <x:c r="H25" s="16" t="str">
        <x:v>MH1608-121Y</x:v>
      </x:c>
      <x:c r="I25" s="16" t="str">
        <x:v>C2650949</x:v>
      </x:c>
      <x:c r="J25" s="16" t="str">
        <x:v>0603</x:v>
      </x:c>
      <x:c r="K25" s="16" t="str">
        <x:v>120 Ω @ 100 MHz, 2 A, ≤100 mΩ</x:v>
      </x:c>
      <x:c r="L25" s="16" t="str">
        <x:v>LCSC stock reported moderate; ~$0.06</x:v>
      </x:c>
      <x:c r="M25" s="16" t="str">
        <x:v>Drop-in</x:v>
      </x:c>
      <x:c r="N25" s="16" t="str">
        <x:v>TDK — MPZ1608S121ATA00</x:v>
      </x:c>
      <x:c r="O25" s="16" t="str">
        <x:v>Drop-in</x:v>
      </x:c>
      <x:c r="P25" s="16" t="str">
        <x:v>Murata — BLM18AG121SN1D</x:v>
      </x:c>
      <x:c r="Q25" s="16" t="str">
        <x:v>Drop-in</x:v>
      </x:c>
      <x:c r="R25" s="16" t="str">
        <x:v>Taiyo Yuden — BK1608HS121-T</x:v>
      </x:c>
      <x:c r="S25" s="16" t="str">
        <x:v>Drop-in</x:v>
      </x:c>
      <x:c r="T25" s="16" t="str">
        <x:v>Primary meets 120 Ω/100 MHz and 2 A class. Verify DCR/current for the rail.</x:v>
      </x:c>
      <x:c r="U25" s="112" t="str">
        <x:v>https://www.lcsc.com/product-detail/Ferrite-Beads_Bourns-MH1608-121Y_C2650949.html</x:v>
      </x:c>
      <x:c r="V25" s="113" t="str"/>
    </x:row>
    <x:row r="26">
      <x:c r="A26" s="99" t="n">
        <x:v>25</x:v>
      </x:c>
      <x:c r="B26" s="16" t="str">
        <x:v>L3</x:v>
      </x:c>
      <x:c r="C26" s="16" t="n">
        <x:v>1</x:v>
      </x:c>
      <x:c r="D26" s="16" t="str">
        <x:v>XFL4020-152MEC</x:v>
      </x:c>
      <x:c r="E26" s="16" t="str">
        <x:v>Library:IND_XFL4020_COC-M</x:v>
      </x:c>
      <x:c r="F26" s="16" t="str">
        <x:v>READY</x:v>
      </x:c>
      <x:c r="G26" s="16" t="str">
        <x:v>Coilcraft</x:v>
      </x:c>
      <x:c r="H26" s="16" t="str">
        <x:v>XGL4020-152MEC</x:v>
      </x:c>
      <x:c r="I26" s="16" t="str"/>
      <x:c r="J26" s="16" t="str">
        <x:v>4.0 x 4.0 mm</x:v>
      </x:c>
      <x:c r="K26" s="16" t="str">
        <x:v>1.5 µH, lower DCR, high-current; official drop-in successor to XFL4020</x:v>
      </x:c>
      <x:c r="L26" s="16" t="str">
        <x:v>High distributor availability</x:v>
      </x:c>
      <x:c r="M26" s="16" t="str">
        <x:v>Drop-in / preferred upgrade</x:v>
      </x:c>
      <x:c r="N26" s="16" t="str">
        <x:v>Coilcraft — XFL4020-152MEC</x:v>
      </x:c>
      <x:c r="O26" s="16" t="str">
        <x:v>Drop-in</x:v>
      </x:c>
      <x:c r="P26" s="16" t="str">
        <x:v>Coilcraft — XEL4020-152MEC</x:v>
      </x:c>
      <x:c r="Q26" s="16" t="str">
        <x:v>Footprint-compatible family; verify height/loss</x:v>
      </x:c>
      <x:c r="R26" s="16" t="str">
        <x:v>Bourns — SRP4020TA-1R5M</x:v>
      </x:c>
      <x:c r="S26" s="16" t="str">
        <x:v>Verify pad pattern, DCR, Isat and Irms</x:v>
      </x:c>
      <x:c r="T26" s="16" t="str">
        <x:v>XGL4020 is the preferred lower-loss drop-in successor; XFL remains acceptable if stocked.</x:v>
      </x:c>
      <x:c r="U26" s="112" t="str">
        <x:v>https://www.coilcraft.com/en-us/products/power/shielded-inductors/molded-inductor/xgl/xgl4020/</x:v>
      </x:c>
      <x:c r="V26" s="113" t="str">
        <x:v>XFL4020-152MEC</x:v>
      </x:c>
    </x:row>
    <x:row r="27">
      <x:c r="A27" s="99" t="n">
        <x:v>26</x:v>
      </x:c>
      <x:c r="B27" s="16" t="str">
        <x:v>R1,R2,R3,R4,R5</x:v>
      </x:c>
      <x:c r="C27" s="16" t="n">
        <x:v>5</x:v>
      </x:c>
      <x:c r="D27" s="16" t="str">
        <x:v>2.2k</x:v>
      </x:c>
      <x:c r="E27" s="16" t="str">
        <x:v>Resistor_SMD:R_0603_1608Metric</x:v>
      </x:c>
      <x:c r="F27" s="16" t="str">
        <x:v>READY</x:v>
      </x:c>
      <x:c r="G27" s="16" t="str">
        <x:v>UniOhm/Uniohm</x:v>
      </x:c>
      <x:c r="H27" s="16" t="str">
        <x:v>0603WAF2201T5E</x:v>
      </x:c>
      <x:c r="I27" s="16" t="str"/>
      <x:c r="J27" s="16" t="str">
        <x:v>0603</x:v>
      </x:c>
      <x:c r="K27" s="16" t="str">
        <x:v>2.2 kΩ, 1%, ≥0.1 W</x:v>
      </x:c>
      <x:c r="L27" s="16" t="str">
        <x:v>Very high / commodity; &lt;$0.01 typical</x:v>
      </x:c>
      <x:c r="M27" s="16" t="str">
        <x:v>Drop-in</x:v>
      </x:c>
      <x:c r="N27" s="16" t="str">
        <x:v>Yageo — RC0603FR-072K2L</x:v>
      </x:c>
      <x:c r="O27" s="16" t="str">
        <x:v>Drop-in</x:v>
      </x:c>
      <x:c r="P27" s="16" t="str">
        <x:v>Panasonic — ERJ-3EKF2201V</x:v>
      </x:c>
      <x:c r="Q27" s="16" t="str">
        <x:v>Drop-in</x:v>
      </x:c>
      <x:c r="R27" s="16" t="str">
        <x:v>Vishay — CRCW06032K20FKEA</x:v>
      </x:c>
      <x:c r="S27" s="16" t="str">
        <x:v>Drop-in</x:v>
      </x:c>
      <x:c r="T27" s="16" t="str">
        <x:v>Commodity 1% 0603 resistor.</x:v>
      </x:c>
      <x:c r="U27" s="112" t="str">
        <x:v>https://www.lcsc.com/search?q=0603WAF2201T5E</x:v>
      </x:c>
      <x:c r="V27" s="113" t="str"/>
    </x:row>
    <x:row r="28">
      <x:c r="A28" s="99" t="n">
        <x:v>27</x:v>
      </x:c>
      <x:c r="B28" s="16" t="str">
        <x:v>R6</x:v>
      </x:c>
      <x:c r="C28" s="16" t="n">
        <x:v>1</x:v>
      </x:c>
      <x:c r="D28" s="16" t="str">
        <x:v>12.4k 1% - Ethernet external reference</x:v>
      </x:c>
      <x:c r="E28" s="16" t="str">
        <x:v>Resistor_SMD:R_0402_1005Metric</x:v>
      </x:c>
      <x:c r="F28" s="16" t="str">
        <x:v>READY</x:v>
      </x:c>
      <x:c r="G28" s="16" t="str">
        <x:v>UniOhm/Uniohm</x:v>
      </x:c>
      <x:c r="H28" s="16" t="str">
        <x:v>0402WGF1242TCE</x:v>
      </x:c>
      <x:c r="I28" s="16" t="str"/>
      <x:c r="J28" s="16" t="str">
        <x:v>0402</x:v>
      </x:c>
      <x:c r="K28" s="16" t="str">
        <x:v>12.4 kΩ, 1%, ≥0.063 W</x:v>
      </x:c>
      <x:c r="L28" s="16" t="str">
        <x:v>Very high / commodity; &lt;$0.01 typical</x:v>
      </x:c>
      <x:c r="M28" s="16" t="str">
        <x:v>Drop-in</x:v>
      </x:c>
      <x:c r="N28" s="16" t="str">
        <x:v>Yageo — RC0402FR-0712K4L</x:v>
      </x:c>
      <x:c r="O28" s="16" t="str">
        <x:v>Drop-in</x:v>
      </x:c>
      <x:c r="P28" s="16" t="str">
        <x:v>Panasonic — ERJ-2RKF1242X</x:v>
      </x:c>
      <x:c r="Q28" s="16" t="str">
        <x:v>Drop-in</x:v>
      </x:c>
      <x:c r="R28" s="16" t="str">
        <x:v>Vishay — CRCW040212K4FKED</x:v>
      </x:c>
      <x:c r="S28" s="16" t="str">
        <x:v>Drop-in</x:v>
      </x:c>
      <x:c r="T28" s="16" t="str">
        <x:v>Use 1% or tighter for the W5500 external reference.</x:v>
      </x:c>
      <x:c r="U28" s="112" t="str">
        <x:v>https://www.lcsc.com/search?q=0402WGF1242TCE</x:v>
      </x:c>
      <x:c r="V28" s="113" t="str"/>
    </x:row>
    <x:row r="29">
      <x:c r="A29" s="99" t="n">
        <x:v>28</x:v>
      </x:c>
      <x:c r="B29" s="16" t="str">
        <x:v>R7,R8,R16,R17</x:v>
      </x:c>
      <x:c r="C29" s="16" t="n">
        <x:v>4</x:v>
      </x:c>
      <x:c r="D29" s="16" t="str">
        <x:v>33</x:v>
      </x:c>
      <x:c r="E29" s="16" t="str">
        <x:v>Resistor_SMD:R_0603_1608Metric</x:v>
      </x:c>
      <x:c r="F29" s="16" t="str">
        <x:v>READY</x:v>
      </x:c>
      <x:c r="G29" s="16" t="str">
        <x:v>UniOhm/Uniohm</x:v>
      </x:c>
      <x:c r="H29" s="16" t="str">
        <x:v>0603WAF330JT5E</x:v>
      </x:c>
      <x:c r="I29" s="16" t="str"/>
      <x:c r="J29" s="16" t="str">
        <x:v>0603</x:v>
      </x:c>
      <x:c r="K29" s="16" t="str">
        <x:v>33 Ω, 1%, ≥0.1 W</x:v>
      </x:c>
      <x:c r="L29" s="16" t="str">
        <x:v>Very high / commodity; &lt;$0.01 typical</x:v>
      </x:c>
      <x:c r="M29" s="16" t="str">
        <x:v>Drop-in</x:v>
      </x:c>
      <x:c r="N29" s="16" t="str">
        <x:v>Yageo — RC0603FR-0733RL</x:v>
      </x:c>
      <x:c r="O29" s="16" t="str">
        <x:v>Drop-in</x:v>
      </x:c>
      <x:c r="P29" s="16" t="str">
        <x:v>Panasonic — ERJ-3EKF33R0V</x:v>
      </x:c>
      <x:c r="Q29" s="16" t="str">
        <x:v>Drop-in</x:v>
      </x:c>
      <x:c r="R29" s="16" t="str">
        <x:v>Vishay — CRCW060333R0FKEA</x:v>
      </x:c>
      <x:c r="S29" s="16" t="str">
        <x:v>Drop-in</x:v>
      </x:c>
      <x:c r="T29" s="16" t="str">
        <x:v>Commodity 1% 0603 resistor.</x:v>
      </x:c>
      <x:c r="U29" s="112" t="str">
        <x:v>https://www.lcsc.com/search?q=0603WAF330JT5E</x:v>
      </x:c>
      <x:c r="V29" s="113" t="str"/>
    </x:row>
    <x:row r="30">
      <x:c r="A30" s="99" t="n">
        <x:v>29</x:v>
      </x:c>
      <x:c r="B30" s="16" t="str">
        <x:v>R9,R15,R29</x:v>
      </x:c>
      <x:c r="C30" s="16" t="n">
        <x:v>3</x:v>
      </x:c>
      <x:c r="D30" s="16" t="str">
        <x:v>330</x:v>
      </x:c>
      <x:c r="E30" s="16" t="str">
        <x:v>Resistor_SMD:R_0603_1608Metric</x:v>
      </x:c>
      <x:c r="F30" s="16" t="str">
        <x:v>READY</x:v>
      </x:c>
      <x:c r="G30" s="16" t="str">
        <x:v>UniOhm/Uniohm</x:v>
      </x:c>
      <x:c r="H30" s="16" t="str">
        <x:v>0603WAF3300T5E</x:v>
      </x:c>
      <x:c r="I30" s="16" t="str"/>
      <x:c r="J30" s="16" t="str">
        <x:v>0603</x:v>
      </x:c>
      <x:c r="K30" s="16" t="str">
        <x:v>330 Ω, 1%, ≥0.1 W</x:v>
      </x:c>
      <x:c r="L30" s="16" t="str">
        <x:v>Very high / commodity; &lt;$0.01 typical</x:v>
      </x:c>
      <x:c r="M30" s="16" t="str">
        <x:v>Drop-in</x:v>
      </x:c>
      <x:c r="N30" s="16" t="str">
        <x:v>Yageo — RC0603FR-07330RL</x:v>
      </x:c>
      <x:c r="O30" s="16" t="str">
        <x:v>Drop-in</x:v>
      </x:c>
      <x:c r="P30" s="16" t="str">
        <x:v>Panasonic — ERJ-3EKF3300V</x:v>
      </x:c>
      <x:c r="Q30" s="16" t="str">
        <x:v>Drop-in</x:v>
      </x:c>
      <x:c r="R30" s="16" t="str">
        <x:v>Vishay — CRCW0603330RFKEA</x:v>
      </x:c>
      <x:c r="S30" s="16" t="str">
        <x:v>Drop-in</x:v>
      </x:c>
      <x:c r="T30" s="16" t="str">
        <x:v>Commodity 1% 0603 resistor.</x:v>
      </x:c>
      <x:c r="U30" s="112" t="str">
        <x:v>https://www.lcsc.com/search?q=0603WAF3300T5E</x:v>
      </x:c>
      <x:c r="V30" s="113" t="str"/>
    </x:row>
    <x:row r="31">
      <x:c r="A31" s="99" t="n">
        <x:v>30</x:v>
      </x:c>
      <x:c r="B31" s="16" t="str">
        <x:v>R10,R11,R12,R13,R14</x:v>
      </x:c>
      <x:c r="C31" s="16" t="n">
        <x:v>5</x:v>
      </x:c>
      <x:c r="D31" s="16" t="str">
        <x:v>100k</x:v>
      </x:c>
      <x:c r="E31" s="16" t="str">
        <x:v>Resistor_SMD:R_0603_1608Metric</x:v>
      </x:c>
      <x:c r="F31" s="16" t="str">
        <x:v>READY</x:v>
      </x:c>
      <x:c r="G31" s="16" t="str">
        <x:v>UniOhm/Uniohm</x:v>
      </x:c>
      <x:c r="H31" s="16" t="str">
        <x:v>0603WAF1003T5E</x:v>
      </x:c>
      <x:c r="I31" s="16" t="str"/>
      <x:c r="J31" s="16" t="str">
        <x:v>0603</x:v>
      </x:c>
      <x:c r="K31" s="16" t="str">
        <x:v>100 kΩ, 1%, ≥0.1 W</x:v>
      </x:c>
      <x:c r="L31" s="16" t="str">
        <x:v>Very high / commodity; &lt;$0.01 typical</x:v>
      </x:c>
      <x:c r="M31" s="16" t="str">
        <x:v>Drop-in</x:v>
      </x:c>
      <x:c r="N31" s="16" t="str">
        <x:v>Yageo — RC0603FR-07100KL</x:v>
      </x:c>
      <x:c r="O31" s="16" t="str">
        <x:v>Drop-in</x:v>
      </x:c>
      <x:c r="P31" s="16" t="str">
        <x:v>Panasonic — ERJ-3EKF1003V</x:v>
      </x:c>
      <x:c r="Q31" s="16" t="str">
        <x:v>Drop-in</x:v>
      </x:c>
      <x:c r="R31" s="16" t="str">
        <x:v>Vishay — CRCW0603100KFKEA</x:v>
      </x:c>
      <x:c r="S31" s="16" t="str">
        <x:v>Drop-in</x:v>
      </x:c>
      <x:c r="T31" s="16" t="str">
        <x:v>Commodity 1% 0603 resistor.</x:v>
      </x:c>
      <x:c r="U31" s="112" t="str">
        <x:v>https://www.lcsc.com/search?q=0603WAF1003T5E</x:v>
      </x:c>
      <x:c r="V31" s="113" t="str"/>
    </x:row>
    <x:row r="32">
      <x:c r="A32" s="99" t="n">
        <x:v>31</x:v>
      </x:c>
      <x:c r="B32" s="16" t="str">
        <x:v>R18,R19,R21,R22</x:v>
      </x:c>
      <x:c r="C32" s="16" t="n">
        <x:v>4</x:v>
      </x:c>
      <x:c r="D32" s="16" t="str">
        <x:v>49.9 1%</x:v>
      </x:c>
      <x:c r="E32" s="16" t="str">
        <x:v>Resistor_SMD:R_0201_0603Metric</x:v>
      </x:c>
      <x:c r="F32" s="16" t="str">
        <x:v>READY</x:v>
      </x:c>
      <x:c r="G32" s="16" t="str">
        <x:v>UniOhm/Uniohm</x:v>
      </x:c>
      <x:c r="H32" s="16" t="str">
        <x:v>0201WMF499JTCE</x:v>
      </x:c>
      <x:c r="I32" s="16" t="str"/>
      <x:c r="J32" s="16" t="str">
        <x:v>0201</x:v>
      </x:c>
      <x:c r="K32" s="16" t="str">
        <x:v>49.9 Ω, 1%, ≥0.05 W</x:v>
      </x:c>
      <x:c r="L32" s="16" t="str">
        <x:v>Very high / commodity; &lt;$0.01 typical</x:v>
      </x:c>
      <x:c r="M32" s="16" t="str">
        <x:v>Drop-in</x:v>
      </x:c>
      <x:c r="N32" s="16" t="str">
        <x:v>Yageo — RC0201FR-0749R9L</x:v>
      </x:c>
      <x:c r="O32" s="16" t="str">
        <x:v>Drop-in</x:v>
      </x:c>
      <x:c r="P32" s="16" t="str">
        <x:v>Panasonic — ERJ-1GNF49R9C</x:v>
      </x:c>
      <x:c r="Q32" s="16" t="str">
        <x:v>Drop-in</x:v>
      </x:c>
      <x:c r="R32" s="16" t="str">
        <x:v>Vishay — CRCW020149R9FKED</x:v>
      </x:c>
      <x:c r="S32" s="16" t="str">
        <x:v>Drop-in</x:v>
      </x:c>
      <x:c r="T32" s="16" t="str">
        <x:v>Use 1% 49.9 Ω; 0201 assembly requires JLC Standard PCBA and careful DFM.</x:v>
      </x:c>
      <x:c r="U32" s="112" t="str">
        <x:v>https://www.lcsc.com/search?q=0201WMF499JTCE</x:v>
      </x:c>
      <x:c r="V32" s="113" t="str"/>
    </x:row>
    <x:row r="33">
      <x:c r="A33" s="99" t="n">
        <x:v>32</x:v>
      </x:c>
      <x:c r="B33" s="16" t="str">
        <x:v>R20</x:v>
      </x:c>
      <x:c r="C33" s="16" t="n">
        <x:v>1</x:v>
      </x:c>
      <x:c r="D33" s="16" t="str">
        <x:v>10 1%</x:v>
      </x:c>
      <x:c r="E33" s="16" t="str">
        <x:v>Resistor_SMD:R_0201_0603Metric</x:v>
      </x:c>
      <x:c r="F33" s="16" t="str">
        <x:v>READY</x:v>
      </x:c>
      <x:c r="G33" s="16" t="str">
        <x:v>UniOhm/Uniohm</x:v>
      </x:c>
      <x:c r="H33" s="16" t="str">
        <x:v>0201WMF100JTCE</x:v>
      </x:c>
      <x:c r="I33" s="16" t="str"/>
      <x:c r="J33" s="16" t="str">
        <x:v>0201</x:v>
      </x:c>
      <x:c r="K33" s="16" t="str">
        <x:v>10 Ω, 1%, ≥0.05 W</x:v>
      </x:c>
      <x:c r="L33" s="16" t="str">
        <x:v>Very high / commodity; &lt;$0.01 typical</x:v>
      </x:c>
      <x:c r="M33" s="16" t="str">
        <x:v>Drop-in</x:v>
      </x:c>
      <x:c r="N33" s="16" t="str">
        <x:v>Yageo — RC0201FR-0710RL</x:v>
      </x:c>
      <x:c r="O33" s="16" t="str">
        <x:v>Drop-in</x:v>
      </x:c>
      <x:c r="P33" s="16" t="str">
        <x:v>Panasonic — ERJ-1GNF10R0C</x:v>
      </x:c>
      <x:c r="Q33" s="16" t="str">
        <x:v>Drop-in</x:v>
      </x:c>
      <x:c r="R33" s="16" t="str">
        <x:v>Vishay — CRCW020110R0FKED</x:v>
      </x:c>
      <x:c r="S33" s="16" t="str">
        <x:v>Drop-in</x:v>
      </x:c>
      <x:c r="T33" s="16" t="str">
        <x:v>Use 1% 10 Ω; 0201 assembly requires careful DFM.</x:v>
      </x:c>
      <x:c r="U33" s="112" t="str">
        <x:v>https://www.lcsc.com/search?q=0201WMF100JTCE</x:v>
      </x:c>
      <x:c r="V33" s="113" t="str"/>
    </x:row>
    <x:row r="34">
      <x:c r="A34" s="99" t="n">
        <x:v>33</x:v>
      </x:c>
      <x:c r="B34" s="16" t="str">
        <x:v>R23</x:v>
      </x:c>
      <x:c r="C34" s="16" t="n">
        <x:v>1</x:v>
      </x:c>
      <x:c r="D34" s="16" t="str">
        <x:v>0</x:v>
      </x:c>
      <x:c r="E34" s="16" t="str">
        <x:v>Resistor_SMD:R_0402_1005Metric</x:v>
      </x:c>
      <x:c r="F34" s="16" t="str">
        <x:v>READY</x:v>
      </x:c>
      <x:c r="G34" s="16" t="str">
        <x:v>UniOhm/Uniohm</x:v>
      </x:c>
      <x:c r="H34" s="16" t="str">
        <x:v>0402WGJ0000TCE</x:v>
      </x:c>
      <x:c r="I34" s="16" t="str"/>
      <x:c r="J34" s="16" t="str">
        <x:v>0402</x:v>
      </x:c>
      <x:c r="K34" s="16" t="str">
        <x:v>0 Ω jumper, ≥0.063 W</x:v>
      </x:c>
      <x:c r="L34" s="16" t="str">
        <x:v>Very high / commodity; &lt;$0.01 typical</x:v>
      </x:c>
      <x:c r="M34" s="16" t="str">
        <x:v>Drop-in</x:v>
      </x:c>
      <x:c r="N34" s="16" t="str">
        <x:v>Yageo — RC0402JR-070RL</x:v>
      </x:c>
      <x:c r="O34" s="16" t="str">
        <x:v>Drop-in</x:v>
      </x:c>
      <x:c r="P34" s="16" t="str">
        <x:v>Panasonic — ERJ-2GE0R00X</x:v>
      </x:c>
      <x:c r="Q34" s="16" t="str">
        <x:v>Drop-in</x:v>
      </x:c>
      <x:c r="R34" s="16" t="str">
        <x:v>Vishay — CRCW04020000Z0ED</x:v>
      </x:c>
      <x:c r="S34" s="16" t="str">
        <x:v>Drop-in</x:v>
      </x:c>
      <x:c r="T34" s="16" t="str">
        <x:v>Commodity 0 Ω jumper.</x:v>
      </x:c>
      <x:c r="U34" s="112" t="str">
        <x:v>https://www.lcsc.com/search?q=0402WGJ0000TCE</x:v>
      </x:c>
      <x:c r="V34" s="113" t="str"/>
    </x:row>
    <x:row r="35">
      <x:c r="A35" s="99" t="n">
        <x:v>34</x:v>
      </x:c>
      <x:c r="B35" s="16" t="str">
        <x:v>R24</x:v>
      </x:c>
      <x:c r="C35" s="16" t="n">
        <x:v>1</x:v>
      </x:c>
      <x:c r="D35" s="16" t="str">
        <x:v>1M</x:v>
      </x:c>
      <x:c r="E35" s="16" t="str">
        <x:v>Resistor_SMD:R_0402_1005Metric</x:v>
      </x:c>
      <x:c r="F35" s="16" t="str">
        <x:v>READY</x:v>
      </x:c>
      <x:c r="G35" s="16" t="str">
        <x:v>UniOhm/Uniohm</x:v>
      </x:c>
      <x:c r="H35" s="16" t="str">
        <x:v>0402WGF1004TCE</x:v>
      </x:c>
      <x:c r="I35" s="16" t="str"/>
      <x:c r="J35" s="16" t="str">
        <x:v>0402</x:v>
      </x:c>
      <x:c r="K35" s="16" t="str">
        <x:v>1 MΩ, 1%, ≥0.063 W</x:v>
      </x:c>
      <x:c r="L35" s="16" t="str">
        <x:v>Very high / commodity; &lt;$0.01 typical</x:v>
      </x:c>
      <x:c r="M35" s="16" t="str">
        <x:v>Drop-in</x:v>
      </x:c>
      <x:c r="N35" s="16" t="str">
        <x:v>Yageo — RC0402FR-071ML</x:v>
      </x:c>
      <x:c r="O35" s="16" t="str">
        <x:v>Drop-in</x:v>
      </x:c>
      <x:c r="P35" s="16" t="str">
        <x:v>Panasonic — ERJ-2RKF1004X</x:v>
      </x:c>
      <x:c r="Q35" s="16" t="str">
        <x:v>Drop-in</x:v>
      </x:c>
      <x:c r="R35" s="16" t="str">
        <x:v>Vishay — CRCW04021M00FKED</x:v>
      </x:c>
      <x:c r="S35" s="16" t="str">
        <x:v>Drop-in</x:v>
      </x:c>
      <x:c r="T35" s="16" t="str">
        <x:v>Commodity 1% resistor.</x:v>
      </x:c>
      <x:c r="U35" s="112" t="str">
        <x:v>https://www.lcsc.com/search?q=0402WGF1004TCE</x:v>
      </x:c>
      <x:c r="V35" s="113" t="str"/>
    </x:row>
    <x:row r="36">
      <x:c r="A36" s="99" t="n">
        <x:v>35</x:v>
      </x:c>
      <x:c r="B36" s="16" t="str">
        <x:v>R25</x:v>
      </x:c>
      <x:c r="C36" s="16" t="n">
        <x:v>1</x:v>
      </x:c>
      <x:c r="D36" s="16" t="str">
        <x:v>10k</x:v>
      </x:c>
      <x:c r="E36" s="16" t="str">
        <x:v>Resistor_SMD:R_0603_1608Metric</x:v>
      </x:c>
      <x:c r="F36" s="16" t="str">
        <x:v>READY</x:v>
      </x:c>
      <x:c r="G36" s="16" t="str">
        <x:v>UniOhm/Uniohm</x:v>
      </x:c>
      <x:c r="H36" s="16" t="str">
        <x:v>0603WAF1002T5E</x:v>
      </x:c>
      <x:c r="I36" s="16" t="str"/>
      <x:c r="J36" s="16" t="str">
        <x:v>0603</x:v>
      </x:c>
      <x:c r="K36" s="16" t="str">
        <x:v>10 kΩ, 1%, ≥0.1 W</x:v>
      </x:c>
      <x:c r="L36" s="16" t="str">
        <x:v>Very high / commodity; &lt;$0.01 typical</x:v>
      </x:c>
      <x:c r="M36" s="16" t="str">
        <x:v>Drop-in</x:v>
      </x:c>
      <x:c r="N36" s="16" t="str">
        <x:v>Yageo — RC0603FR-0710KL</x:v>
      </x:c>
      <x:c r="O36" s="16" t="str">
        <x:v>Drop-in</x:v>
      </x:c>
      <x:c r="P36" s="16" t="str">
        <x:v>Panasonic — ERJ-3EKF1002V</x:v>
      </x:c>
      <x:c r="Q36" s="16" t="str">
        <x:v>Drop-in</x:v>
      </x:c>
      <x:c r="R36" s="16" t="str">
        <x:v>Vishay — CRCW060310K0FKEA</x:v>
      </x:c>
      <x:c r="S36" s="16" t="str">
        <x:v>Drop-in</x:v>
      </x:c>
      <x:c r="T36" s="16" t="str">
        <x:v>Commodity 1% resistor.</x:v>
      </x:c>
      <x:c r="U36" s="112" t="str">
        <x:v>https://www.lcsc.com/search?q=0603WAF1002T5E</x:v>
      </x:c>
      <x:c r="V36" s="113" t="str"/>
    </x:row>
    <x:row r="37">
      <x:c r="A37" s="99" t="n">
        <x:v>36</x:v>
      </x:c>
      <x:c r="B37" s="16" t="str">
        <x:v>R26</x:v>
      </x:c>
      <x:c r="C37" s="16" t="n">
        <x:v>1</x:v>
      </x:c>
      <x:c r="D37" s="16" t="str">
        <x:v>10kΩ</x:v>
      </x:c>
      <x:c r="E37" s="16" t="str">
        <x:v>Resistor_SMD:R_0402_1005Metric</x:v>
      </x:c>
      <x:c r="F37" s="16" t="str">
        <x:v>READY</x:v>
      </x:c>
      <x:c r="G37" s="16" t="str">
        <x:v>UniOhm/Uniohm</x:v>
      </x:c>
      <x:c r="H37" s="16" t="str">
        <x:v>0402WGF1002TCE</x:v>
      </x:c>
      <x:c r="I37" s="16" t="str"/>
      <x:c r="J37" s="16" t="str">
        <x:v>0402</x:v>
      </x:c>
      <x:c r="K37" s="16" t="str">
        <x:v>10 kΩ, 1%, ≥0.063 W</x:v>
      </x:c>
      <x:c r="L37" s="16" t="str">
        <x:v>Very high / commodity; &lt;$0.01 typical</x:v>
      </x:c>
      <x:c r="M37" s="16" t="str">
        <x:v>Drop-in</x:v>
      </x:c>
      <x:c r="N37" s="16" t="str">
        <x:v>Yageo — RC0402FR-0710KL</x:v>
      </x:c>
      <x:c r="O37" s="16" t="str">
        <x:v>Drop-in</x:v>
      </x:c>
      <x:c r="P37" s="16" t="str">
        <x:v>Panasonic — ERJ-2RKF1002X</x:v>
      </x:c>
      <x:c r="Q37" s="16" t="str">
        <x:v>Drop-in</x:v>
      </x:c>
      <x:c r="R37" s="16" t="str">
        <x:v>Vishay — CRCW040210K0FKED</x:v>
      </x:c>
      <x:c r="S37" s="16" t="str">
        <x:v>Drop-in</x:v>
      </x:c>
      <x:c r="T37" s="16" t="str">
        <x:v>Commodity 1% resistor.</x:v>
      </x:c>
      <x:c r="U37" s="112" t="str">
        <x:v>https://www.lcsc.com/search?q=0402WGF1002TCE</x:v>
      </x:c>
      <x:c r="V37" s="113" t="str"/>
    </x:row>
    <x:row r="38">
      <x:c r="A38" s="99" t="n">
        <x:v>37</x:v>
      </x:c>
      <x:c r="B38" s="16" t="str">
        <x:v>R28</x:v>
      </x:c>
      <x:c r="C38" s="16" t="n">
        <x:v>1</x:v>
      </x:c>
      <x:c r="D38" s="16" t="str">
        <x:v>100kΩ</x:v>
      </x:c>
      <x:c r="E38" s="16" t="str">
        <x:v>Resistor_SMD:R_0603_1608Metric</x:v>
      </x:c>
      <x:c r="F38" s="16" t="str">
        <x:v>READY</x:v>
      </x:c>
      <x:c r="G38" s="16" t="str">
        <x:v>UniOhm/Uniohm</x:v>
      </x:c>
      <x:c r="H38" s="16" t="str">
        <x:v>0603WAF1003T5E</x:v>
      </x:c>
      <x:c r="I38" s="16" t="str"/>
      <x:c r="J38" s="16" t="str">
        <x:v>0603</x:v>
      </x:c>
      <x:c r="K38" s="16" t="str">
        <x:v>100 kΩ, 1%, ≥0.1 W</x:v>
      </x:c>
      <x:c r="L38" s="16" t="str">
        <x:v>Very high / commodity; &lt;$0.01 typical</x:v>
      </x:c>
      <x:c r="M38" s="16" t="str">
        <x:v>Drop-in</x:v>
      </x:c>
      <x:c r="N38" s="16" t="str">
        <x:v>Yageo — RC0603FR-07100KL</x:v>
      </x:c>
      <x:c r="O38" s="16" t="str">
        <x:v>Drop-in</x:v>
      </x:c>
      <x:c r="P38" s="16" t="str">
        <x:v>Panasonic — ERJ-3EKF1003V</x:v>
      </x:c>
      <x:c r="Q38" s="16" t="str">
        <x:v>Drop-in</x:v>
      </x:c>
      <x:c r="R38" s="16" t="str">
        <x:v>Vishay — CRCW0603100KFKEA</x:v>
      </x:c>
      <x:c r="S38" s="16" t="str">
        <x:v>Drop-in</x:v>
      </x:c>
      <x:c r="T38" s="16" t="str">
        <x:v>Commodity 1% resistor.</x:v>
      </x:c>
      <x:c r="U38" s="112" t="str">
        <x:v>https://www.lcsc.com/search?q=0603WAF1003T5E</x:v>
      </x:c>
      <x:c r="V38" s="113" t="str"/>
    </x:row>
    <x:row r="39">
      <x:c r="A39" s="99" t="n">
        <x:v>38</x:v>
      </x:c>
      <x:c r="B39" s="16" t="str">
        <x:v>SW5</x:v>
      </x:c>
      <x:c r="C39" s="16" t="n">
        <x:v>1</x:v>
      </x:c>
      <x:c r="D39" s="16" t="str">
        <x:v>ENABLE</x:v>
      </x:c>
      <x:c r="E39" s="16" t="str">
        <x:v>Button_Switch_THT:SW_PUSH_6mm_H5mm</x:v>
      </x:c>
      <x:c r="F39" s="16" t="str">
        <x:v>BLOCKER</x:v>
      </x:c>
      <x:c r="G39" s="16" t="str">
        <x:v>Omron</x:v>
      </x:c>
      <x:c r="H39" s="16" t="str">
        <x:v>B3F-1000</x:v>
      </x:c>
      <x:c r="I39" s="16" t="str"/>
      <x:c r="J39" s="16" t="str">
        <x:v>6 x 6 mm THT tactile</x:v>
      </x:c>
      <x:c r="K39" s="16" t="str">
        <x:v>Momentary NO, 4.3 mm body height</x:v>
      </x:c>
      <x:c r="L39" s="16" t="str">
        <x:v>Very high</x:v>
      </x:c>
      <x:c r="M39" s="16" t="str">
        <x:v>Matches common SW_PUSH_6mm footprint; verify height</x:v>
      </x:c>
      <x:c r="N39" s="16" t="str">
        <x:v>Omron — B3F-1020</x:v>
      </x:c>
      <x:c r="O39" s="16" t="str">
        <x:v>Drop-in pads; verify height</x:v>
      </x:c>
      <x:c r="P39" s="16" t="str">
        <x:v>E-Switch — TL1105SPF250QG</x:v>
      </x:c>
      <x:c r="Q39" s="16" t="str">
        <x:v>Verify exact pin spacing/height</x:v>
      </x:c>
      <x:c r="R39" s="16" t="str">
        <x:v>C&amp;K — PTS645SL43SMTR92 LFS</x:v>
      </x:c>
      <x:c r="S39" s="16" t="str">
        <x:v>Package variant may be SMT; verify before order</x:v>
      </x:c>
      <x:c r="T39" s="16" t="str">
        <x:v>PTS815 is a 4.2 x 3.2 mm SMT switch; the PCB footprint is a 6 x 6 mm THT switch. Primary below matches the current footprint.</x:v>
      </x:c>
      <x:c r="U39" s="112" t="str">
        <x:v>https://www.digikey.com/en/products/result?keywords=B3F-1000</x:v>
      </x:c>
      <x:c r="V39" s="113" t="str">
        <x:v>PTS815 SJM 250 SMTR LFS</x:v>
      </x:c>
    </x:row>
    <x:row r="40">
      <x:c r="A40" s="99" t="n">
        <x:v>39</x:v>
      </x:c>
      <x:c r="B40" s="16" t="str">
        <x:v>SW6</x:v>
      </x:c>
      <x:c r="C40" s="16" t="n">
        <x:v>1</x:v>
      </x:c>
      <x:c r="D40" s="16" t="str">
        <x:v>RESET</x:v>
      </x:c>
      <x:c r="E40" s="16" t="str">
        <x:v>Button_Switch_THT:SW_PUSH_6mm_H5mm</x:v>
      </x:c>
      <x:c r="F40" s="16" t="str">
        <x:v>BLOCKER</x:v>
      </x:c>
      <x:c r="G40" s="16" t="str">
        <x:v>Omron</x:v>
      </x:c>
      <x:c r="H40" s="16" t="str">
        <x:v>B3F-1000</x:v>
      </x:c>
      <x:c r="I40" s="16" t="str"/>
      <x:c r="J40" s="16" t="str">
        <x:v>6 x 6 mm THT tactile</x:v>
      </x:c>
      <x:c r="K40" s="16" t="str">
        <x:v>Momentary NO, 4.3 mm body height</x:v>
      </x:c>
      <x:c r="L40" s="16" t="str">
        <x:v>Very high</x:v>
      </x:c>
      <x:c r="M40" s="16" t="str">
        <x:v>Matches common SW_PUSH_6mm footprint; verify height</x:v>
      </x:c>
      <x:c r="N40" s="16" t="str">
        <x:v>Omron — B3F-1020</x:v>
      </x:c>
      <x:c r="O40" s="16" t="str">
        <x:v>Drop-in pads; verify height</x:v>
      </x:c>
      <x:c r="P40" s="16" t="str">
        <x:v>E-Switch — TL1105SPF250QG</x:v>
      </x:c>
      <x:c r="Q40" s="16" t="str">
        <x:v>Verify exact pin spacing/height</x:v>
      </x:c>
      <x:c r="R40" s="16" t="str">
        <x:v>C&amp;K — PTS645SL43SMTR92 LFS</x:v>
      </x:c>
      <x:c r="S40" s="16" t="str">
        <x:v>Package variant may be SMT; verify before order</x:v>
      </x:c>
      <x:c r="T40" s="16" t="str">
        <x:v>PTS815 is a 4.2 x 3.2 mm SMT switch; the PCB footprint is a 6 x 6 mm THT switch. Primary below matches the current footprint.</x:v>
      </x:c>
      <x:c r="U40" s="112" t="str">
        <x:v>https://www.digikey.com/en/products/result?keywords=B3F-1000</x:v>
      </x:c>
      <x:c r="V40" s="113" t="str">
        <x:v>PTS815 SJM 250 SMTR LFS</x:v>
      </x:c>
    </x:row>
    <x:row r="41">
      <x:c r="A41" s="99" t="n">
        <x:v>40</x:v>
      </x:c>
      <x:c r="B41" s="16" t="str">
        <x:v>U1</x:v>
      </x:c>
      <x:c r="C41" s="16" t="n">
        <x:v>1</x:v>
      </x:c>
      <x:c r="D41" s="16" t="str">
        <x:v>ESP32-WROOM-32UE</x:v>
      </x:c>
      <x:c r="E41" s="16" t="str">
        <x:v>RF_Module:ESP32-WROOM-32UE</x:v>
      </x:c>
      <x:c r="F41" s="16" t="str">
        <x:v>READY</x:v>
      </x:c>
      <x:c r="G41" s="16" t="str">
        <x:v>Espressif</x:v>
      </x:c>
      <x:c r="H41" s="16" t="str">
        <x:v>ESP32-WROOM-32UE-N8</x:v>
      </x:c>
      <x:c r="I41" s="16" t="str">
        <x:v>C701345</x:v>
      </x:c>
      <x:c r="J41" s="16" t="str">
        <x:v>ESP32-WROOM-32UE module</x:v>
      </x:c>
      <x:c r="K41" s="16" t="str">
        <x:v>8 MB flash, external antenna connector</x:v>
      </x:c>
      <x:c r="L41" s="16" t="str">
        <x:v>JLC listed / high</x:v>
      </x:c>
      <x:c r="M41" s="16" t="str">
        <x:v>Drop-in</x:v>
      </x:c>
      <x:c r="N41" s="16" t="str">
        <x:v>Espressif — ESP32-WROOM-32UE-N4</x:v>
      </x:c>
      <x:c r="O41" s="16" t="str">
        <x:v>Drop-in; lower flash</x:v>
      </x:c>
      <x:c r="P41" s="16" t="str">
        <x:v>Espressif — ESP32-WROOM-32UE-N16</x:v>
      </x:c>
      <x:c r="Q41" s="16" t="str">
        <x:v>Drop-in; firmware partition change may be useful</x:v>
      </x:c>
      <x:c r="R41" s="16" t="str">
        <x:v>Espressif — ESP32-WROOM-32UE-N8R2</x:v>
      </x:c>
      <x:c r="S41" s="16" t="str">
        <x:v>Drop-in hardware; firmware config change</x:v>
      </x:c>
      <x:c r="T41" s="16" t="str">
        <x:v>N8 is a practical default. N4 is cheaper; N16 gives more OTA/filesystem margin.</x:v>
      </x:c>
      <x:c r="U41" s="112" t="str">
        <x:v>https://jlcpcb.com/partdetail/EspressifSystems-ESP32_WROOM_32UE_N8/C701345</x:v>
      </x:c>
      <x:c r="V41" s="113" t="str">
        <x:v>https://www.espressif.com/sites/default/files/documentation/esp32-wroom-32e_esp32-wroom-32ue_datasheet_en.pdf</x:v>
      </x:c>
    </x:row>
    <x:row r="42">
      <x:c r="A42" s="99" t="n">
        <x:v>41</x:v>
      </x:c>
      <x:c r="B42" s="16" t="str">
        <x:v>U2</x:v>
      </x:c>
      <x:c r="C42" s="16" t="n">
        <x:v>1</x:v>
      </x:c>
      <x:c r="D42" s="16" t="str">
        <x:v>ULN2803A</x:v>
      </x:c>
      <x:c r="E42" s="16" t="str">
        <x:v>Package_SO:SOIC-18W_7.5x11.6mm_P1.27mm</x:v>
      </x:c>
      <x:c r="F42" s="16" t="str">
        <x:v>READY</x:v>
      </x:c>
      <x:c r="G42" s="16" t="str">
        <x:v>Mixic</x:v>
      </x:c>
      <x:c r="H42" s="16" t="str">
        <x:v>ULN2803A</x:v>
      </x:c>
      <x:c r="I42" s="16" t="str">
        <x:v>C107219</x:v>
      </x:c>
      <x:c r="J42" s="16" t="str">
        <x:v>SOP-18 300 mil</x:v>
      </x:c>
      <x:c r="K42" s="16" t="str">
        <x:v>8-channel Darlington sink array, 50 V, 500 mA/channel class</x:v>
      </x:c>
      <x:c r="L42" s="16" t="str">
        <x:v>JLC high; &lt;$0.10 typical</x:v>
      </x:c>
      <x:c r="M42" s="16" t="str">
        <x:v>Drop-in</x:v>
      </x:c>
      <x:c r="N42" s="16" t="str">
        <x:v>UMW — ULN2803A</x:v>
      </x:c>
      <x:c r="O42" s="16" t="str">
        <x:v>Drop-in</x:v>
      </x:c>
      <x:c r="P42" s="16" t="str">
        <x:v>Texas Instruments — ULN2803ADWR</x:v>
      </x:c>
      <x:c r="Q42" s="16" t="str">
        <x:v>Drop-in</x:v>
      </x:c>
      <x:c r="R42" s="16" t="str">
        <x:v>STMicroelectronics — ULN2803AD1013TR</x:v>
      </x:c>
      <x:c r="S42" s="16" t="str">
        <x:v>Drop-in; verify footprint courtyard</x:v>
      </x:c>
      <x:c r="T42" s="16" t="str">
        <x:v>Cheap second-source arrays are suitable electrically for 12 V relay coils, but qualify vendor quality if production reliability is critical.</x:v>
      </x:c>
      <x:c r="U42" s="112" t="str">
        <x:v>https://jlcpcb.com/partdetail/Mixic-ULN2803A/C107219</x:v>
      </x:c>
      <x:c r="V42" s="113" t="str">
        <x:v>http://www.ti.com/lit/ds/symlink/uln2803a.pdf</x:v>
      </x:c>
    </x:row>
    <x:row r="43">
      <x:c r="A43" s="99" t="n">
        <x:v>42</x:v>
      </x:c>
      <x:c r="B43" s="16" t="str">
        <x:v>U3</x:v>
      </x:c>
      <x:c r="C43" s="16" t="n">
        <x:v>1</x:v>
      </x:c>
      <x:c r="D43" s="16" t="str">
        <x:v>W5500</x:v>
      </x:c>
      <x:c r="E43" s="16" t="str">
        <x:v>Package_QFP:LQFP-48_7x7mm_P0.5mm</x:v>
      </x:c>
      <x:c r="F43" s="16" t="str">
        <x:v>READY</x:v>
      </x:c>
      <x:c r="G43" s="16" t="str">
        <x:v>WIZnet</x:v>
      </x:c>
      <x:c r="H43" s="16" t="str">
        <x:v>W5500</x:v>
      </x:c>
      <x:c r="I43" s="16" t="str">
        <x:v>C32843</x:v>
      </x:c>
      <x:c r="J43" s="16" t="str">
        <x:v>LQFP-48 7x7</x:v>
      </x:c>
      <x:c r="K43" s="16" t="str">
        <x:v>Hardwired TCP/IP Ethernet controller, 3.3 V, integrated 10/100 PHY</x:v>
      </x:c>
      <x:c r="L43" s="16" t="str">
        <x:v>JLC high; ~$2-$4</x:v>
      </x:c>
      <x:c r="M43" s="16" t="str">
        <x:v>Drop-in</x:v>
      </x:c>
      <x:c r="N43" s="16" t="str">
        <x:v>WIZnet — W5500</x:v>
      </x:c>
      <x:c r="O43" s="16" t="str">
        <x:v>Drop-in / alternate supply channel</x:v>
      </x:c>
      <x:c r="P43" s="16" t="str">
        <x:v>WIZnet — W5100S-L</x:v>
      </x:c>
      <x:c r="Q43" s="16" t="str">
        <x:v>Not drop-in: pinout/firmware review</x:v>
      </x:c>
      <x:c r="R43" s="16" t="str">
        <x:v>Microchip — ENC28J60-I/ML</x:v>
      </x:c>
      <x:c r="S43" s="16" t="str">
        <x:v>Full redesign: package, PHY interface, firmware</x:v>
      </x:c>
      <x:c r="T43" s="16" t="str">
        <x:v>W5500 has no true second-source pin-compatible alternate. Keep authorized-channel W5500 as the AVL; other Ethernet controllers require redesign.</x:v>
      </x:c>
      <x:c r="U43" s="112" t="str">
        <x:v>https://jlcpcb.com/partdetail/WIZnet-W5500/C32843</x:v>
      </x:c>
      <x:c r="V43" s="113" t="str">
        <x:v>https://docs.wiznet.io/img/products/w5500/W5500_ds_v110e.pdf</x:v>
      </x:c>
    </x:row>
    <x:row r="44">
      <x:c r="A44" s="99" t="n">
        <x:v>43</x:v>
      </x:c>
      <x:c r="B44" s="16" t="str">
        <x:v>U4</x:v>
      </x:c>
      <x:c r="C44" s="16" t="n">
        <x:v>1</x:v>
      </x:c>
      <x:c r="D44" s="16" t="str">
        <x:v>3A 32V</x:v>
      </x:c>
      <x:c r="E44" s="16" t="str">
        <x:v>Fuse:Fuse_1206_3216Metric</x:v>
      </x:c>
      <x:c r="F44" s="16" t="str">
        <x:v>VERIFY</x:v>
      </x:c>
      <x:c r="G44" s="16" t="str">
        <x:v>Bel Fuse</x:v>
      </x:c>
      <x:c r="H44" s="16" t="str">
        <x:v>0685F3000-01</x:v>
      </x:c>
      <x:c r="I44" s="16" t="str"/>
      <x:c r="J44" s="16" t="str">
        <x:v>1206</x:v>
      </x:c>
      <x:c r="K44" s="16" t="str">
        <x:v>3 A, fast-acting C1F series; verify 63 V DC rating</x:v>
      </x:c>
      <x:c r="L44" s="16" t="str">
        <x:v>High distributor availability</x:v>
      </x:c>
      <x:c r="M44" s="16" t="str">
        <x:v>Drop-in</x:v>
      </x:c>
      <x:c r="N44" s="16" t="str">
        <x:v>Bourns — SF-1206F300-2</x:v>
      </x:c>
      <x:c r="O44" s="16" t="str">
        <x:v>Drop-in</x:v>
      </x:c>
      <x:c r="P44" s="16" t="str">
        <x:v>Eaton — CC12H3A-TR</x:v>
      </x:c>
      <x:c r="Q44" s="16" t="str">
        <x:v>Drop-in</x:v>
      </x:c>
      <x:c r="R44" s="16" t="str">
        <x:v>Littelfuse — 0467003.NRHF</x:v>
      </x:c>
      <x:c r="S44" s="16" t="str">
        <x:v>Drop-in</x:v>
      </x:c>
      <x:c r="T44" s="16" t="str">
        <x:v>Assumed input fuse. Verify exact Bel C1F 3 voltage/interrupt rating and whether fast-acting behavior coordinates with input surge/inrush.</x:v>
      </x:c>
      <x:c r="U44" s="112" t="str">
        <x:v>https://www.digikey.com/en/products/result?keywords=0685F3000-01</x:v>
      </x:c>
      <x:c r="V44" s="113" t="str">
        <x:v>C1F 3</x:v>
      </x:c>
    </x:row>
    <x:row r="45">
      <x:c r="A45" s="99" t="n">
        <x:v>44</x:v>
      </x:c>
      <x:c r="B45" s="16" t="str">
        <x:v>U5</x:v>
      </x:c>
      <x:c r="C45" s="16" t="n">
        <x:v>1</x:v>
      </x:c>
      <x:c r="D45" s="16" t="str">
        <x:v>TPS630701RNMR</x:v>
      </x:c>
      <x:c r="E45" s="16" t="str">
        <x:v>Library:RNM0015A</x:v>
      </x:c>
      <x:c r="F45" s="16" t="str">
        <x:v>READY</x:v>
      </x:c>
      <x:c r="G45" s="16" t="str">
        <x:v>Texas Instruments</x:v>
      </x:c>
      <x:c r="H45" s="16" t="str">
        <x:v>TPS630701RNMR</x:v>
      </x:c>
      <x:c r="I45" s="16" t="str">
        <x:v>C2876599</x:v>
      </x:c>
      <x:c r="J45" s="16" t="str">
        <x:v>VQFN-HR-15, 3x2.5 mm</x:v>
      </x:c>
      <x:c r="K45" s="16" t="str">
        <x:v>Fixed 5 V buck-boost, 2-16 V input, 2 A output class</x:v>
      </x:c>
      <x:c r="L45" s="16" t="str">
        <x:v>JLC stock reported high; ~$1.27</x:v>
      </x:c>
      <x:c r="M45" s="16" t="str">
        <x:v>Drop-in</x:v>
      </x:c>
      <x:c r="N45" s="16" t="str">
        <x:v>Texas Instruments — TPS630701RNMT</x:v>
      </x:c>
      <x:c r="O45" s="16" t="str">
        <x:v>Drop-in</x:v>
      </x:c>
      <x:c r="P45" s="16" t="str">
        <x:v>Texas Instruments — TPS63070RNMR</x:v>
      </x:c>
      <x:c r="Q45" s="16" t="str">
        <x:v>Same package; schematic/BOM feedback network change</x:v>
      </x:c>
      <x:c r="R45" s="16" t="str">
        <x:v>Texas Instruments — TPS630702RNMR</x:v>
      </x:c>
      <x:c r="S45" s="16" t="str">
        <x:v>Same package; configuration review required</x:v>
      </x:c>
      <x:c r="T45" s="16" t="str">
        <x:v>Exact fixed-5 V part is well stocked. Do not substitute adjustable variants without reviewing the feedback/VSEL network.</x:v>
      </x:c>
      <x:c r="U45" s="112" t="str">
        <x:v>https://jlcpcb.com/partdetail/TexasInstruments-TPS630701RNMR/C2876599</x:v>
      </x:c>
      <x:c r="V45" s="113" t="str">
        <x:v>https://www.ti.com/lit/gpn/tps63070</x:v>
      </x:c>
    </x:row>
    <x:row r="46">
      <x:c r="A46" s="99" t="n">
        <x:v>45</x:v>
      </x:c>
      <x:c r="B46" s="16" t="str">
        <x:v>U7</x:v>
      </x:c>
      <x:c r="C46" s="16" t="n">
        <x:v>1</x:v>
      </x:c>
      <x:c r="D46" s="16" t="str">
        <x:v>TVS1800DRVR</x:v>
      </x:c>
      <x:c r="E46" s="16" t="str">
        <x:v>Library:DRV0006A_NV</x:v>
      </x:c>
      <x:c r="F46" s="16" t="str">
        <x:v>ENGINEERING HOLD</x:v>
      </x:c>
      <x:c r="G46" s="16" t="str">
        <x:v>Texas Instruments</x:v>
      </x:c>
      <x:c r="H46" s="16" t="str">
        <x:v>TVS1400DRVR</x:v>
      </x:c>
      <x:c r="I46" s="16" t="str">
        <x:v>C1975229</x:v>
      </x:c>
      <x:c r="J46" s="16" t="str">
        <x:v>WSON-6 2x2</x:v>
      </x:c>
      <x:c r="K46" s="16" t="str">
        <x:v>14 V standoff flat-clamp TVS, 19.3 V max clamp at specified surge</x:v>
      </x:c>
      <x:c r="L46" s="16" t="str">
        <x:v>JLC stock ~2k at research time; ~$0.39</x:v>
      </x:c>
      <x:c r="M46" s="16" t="str">
        <x:v>Same footprint; engineering review required</x:v>
      </x:c>
      <x:c r="N46" s="16" t="str">
        <x:v>Texas Instruments — TVS1400DRVT</x:v>
      </x:c>
      <x:c r="O46" s="16" t="str">
        <x:v>Same footprint; engineering review required</x:v>
      </x:c>
      <x:c r="P46" s="16" t="str">
        <x:v>Texas Instruments — TVS1800DRVR</x:v>
      </x:c>
      <x:c r="Q46" s="16" t="str">
        <x:v>Drop-in but not recommended for protecting TPS63070 input</x:v>
      </x:c>
      <x:c r="R46" s="16" t="str">
        <x:v>Littelfuse / equivalent — SMAJ12A</x:v>
      </x:c>
      <x:c r="S46" s="16" t="str">
        <x:v>Layout change; protection coordination still required</x:v>
      </x:c>
      <x:c r="T46" s="16" t="str">
        <x:v>Do not release as-is. TVS1800 has 18 V standoff and roughly 24.7 V maximum clamp, while TPS63070 is specified for up to 16 V input. TVS1400 is same-footprint and better, but the full protection network still needs surge coordination and verification. Better coordinated than TVS1800 for a 12 V rail, but its worst-case clamp still exceeds the TPS63070 16 V recommended input range; verify absolute maximum, surge impedance, fuse/series resistance, and test waveform.</x:v>
      </x:c>
      <x:c r="U46" s="112" t="str">
        <x:v>https://jlcpcb.com/partdetail/TVS1400DRVR/C1975229</x:v>
      </x:c>
      <x:c r="V46" s="113" t="str">
        <x:v>https://www.ti.com/lit/gpn/tvs1800</x:v>
      </x:c>
    </x:row>
    <x:row r="47">
      <x:c r="A47" s="99" t="n">
        <x:v>46</x:v>
      </x:c>
      <x:c r="B47" s="16" t="str">
        <x:v>U9,U10</x:v>
      </x:c>
      <x:c r="C47" s="16" t="n">
        <x:v>2</x:v>
      </x:c>
      <x:c r="D47" s="16" t="str">
        <x:v>TLV1117LV33DCYR</x:v>
      </x:c>
      <x:c r="E47" s="16" t="str">
        <x:v>Library:TLV1117-33IDCYR</x:v>
      </x:c>
      <x:c r="F47" s="16" t="str">
        <x:v>READY</x:v>
      </x:c>
      <x:c r="G47" s="16" t="str">
        <x:v>Texas Instruments</x:v>
      </x:c>
      <x:c r="H47" s="16" t="str">
        <x:v>TLV1117LV33DCYR</x:v>
      </x:c>
      <x:c r="I47" s="16" t="str">
        <x:v>C15578</x:v>
      </x:c>
      <x:c r="J47" s="16" t="str">
        <x:v>SOT-223-4</x:v>
      </x:c>
      <x:c r="K47" s="16" t="str">
        <x:v>3.3 V fixed, 1 A, VIN 2-5.5 V, ceramic stable</x:v>
      </x:c>
      <x:c r="L47" s="16" t="str">
        <x:v>LCSC/JLC availability good; ~$0.21-$0.37</x:v>
      </x:c>
      <x:c r="M47" s="16" t="str">
        <x:v>Drop-in</x:v>
      </x:c>
      <x:c r="N47" s="16" t="str">
        <x:v>Texas Instruments — TLV1117LV33DCYT</x:v>
      </x:c>
      <x:c r="O47" s="16" t="str">
        <x:v>Drop-in</x:v>
      </x:c>
      <x:c r="P47" s="16" t="str">
        <x:v>Texas Instruments — TLV76133DCYR</x:v>
      </x:c>
      <x:c r="Q47" s="16" t="str">
        <x:v>Likely pin-compatible; recheck capacitors and thermal</x:v>
      </x:c>
      <x:c r="R47" s="16" t="str">
        <x:v>Diodes Incorporated — AP1117E33G-13</x:v>
      </x:c>
      <x:c r="S47" s="16" t="str">
        <x:v>Pin-compatible class; higher VIN/IQ and stability differ</x:v>
      </x:c>
      <x:c r="T47" s="16" t="str">
        <x:v>Exact TI part is preferred; avoid generic 1117 substitutions unless input range, dropout, stability, thermal dissipation and pinout are rechecked.</x:v>
      </x:c>
      <x:c r="U47" s="112" t="str">
        <x:v>https://www.lcsc.com/product-detail/Low-Dropout-Regulators-LDO_TI_TLV1117LV33DCYR_TLV1117LV33DCYR_C15578.html</x:v>
      </x:c>
      <x:c r="V47" s="113" t="str">
        <x:v>https://www.ti.com/lit/gpn/tlv1117lv</x:v>
      </x:c>
    </x:row>
    <x:row r="48">
      <x:c r="A48" s="101" t="n">
        <x:v>47</x:v>
      </x:c>
      <x:c r="B48" s="102" t="str">
        <x:v>Y2</x:v>
      </x:c>
      <x:c r="C48" s="102" t="n">
        <x:v>1</x:v>
      </x:c>
      <x:c r="D48" s="102" t="str">
        <x:v>ABM3C-25.000MHZ-D4Y-T</x:v>
      </x:c>
      <x:c r="E48" s="102" t="str">
        <x:v>Library:CRYSTAL_ABM3C_ABR-M</x:v>
      </x:c>
      <x:c r="F48" s="102" t="str">
        <x:v>VERIFY</x:v>
      </x:c>
      <x:c r="G48" s="102" t="str">
        <x:v>HCI</x:v>
      </x:c>
      <x:c r="H48" s="102" t="str">
        <x:v>XC53M4-25.000-F18NJDTL</x:v>
      </x:c>
      <x:c r="I48" s="102" t="str">
        <x:v>C2962760</x:v>
      </x:c>
      <x:c r="J48" s="102" t="str">
        <x:v>5032 4-pad</x:v>
      </x:c>
      <x:c r="K48" s="102" t="str">
        <x:v>25 MHz, 18 pF load, 50 Ω class, -40 to 85°C</x:v>
      </x:c>
      <x:c r="L48" s="102" t="str">
        <x:v>JLC listed; order-time stock check</x:v>
      </x:c>
      <x:c r="M48" s="102" t="str">
        <x:v>Drop-in</x:v>
      </x:c>
      <x:c r="N48" s="102" t="str">
        <x:v>Slkor — SL503225M18P</x:v>
      </x:c>
      <x:c r="O48" s="102" t="str">
        <x:v>Drop-in if temperature range is acceptable</x:v>
      </x:c>
      <x:c r="P48" s="102" t="str">
        <x:v>Abracon — ABM3C-25.000MHZ-D4Y-T</x:v>
      </x:c>
      <x:c r="Q48" s="102" t="str">
        <x:v>Drop-in</x:v>
      </x:c>
      <x:c r="R48" s="102" t="str">
        <x:v>Abracon — ABM3B-25.000MHZ-D-4-H-T</x:v>
      </x:c>
      <x:c r="S48" s="102" t="str">
        <x:v>Drop-in only if CL/ESR meet W5500 design</x:v>
      </x:c>
      <x:c r="T48" s="102" t="str">
        <x:v>Use a 5032, 25 MHz, 18 pF-load part. The exact Abracon part had very low JLC stock during research; primary is a footprint/spec-compatible full-temperature option subject to order-time stock.</x:v>
      </x:c>
      <x:c r="U48" s="114" t="str">
        <x:v>https://jlcpcb.com/partdetail/HCI-XC53M4_25000_F18NJDTL/C2962760</x:v>
      </x:c>
      <x:c r="V48" s="115" t="str">
        <x:v>https://abracon.com/Resonators/ABM3C.pdf</x:v>
      </x:c>
    </x:row>
  </x:sheetData>
  <x:conditionalFormatting sqref="F2:F48">
    <x:cfRule type="expression" dxfId="0" priority="1">
      <x:formula>F2="READY"</x:formula>
    </x:cfRule>
    <x:cfRule type="expression" dxfId="1" priority="2">
      <x:formula>F2="VERIFY"</x:formula>
    </x:cfRule>
    <x:cfRule type="expression" dxfId="2" priority="3">
      <x:formula>OR(F2="BLOCKER",F2="ENGINEERING HOLD")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731e53af7b43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7" hidden="0" customWidth="1"/>
    <x:col min="4" max="4" width="13" hidden="0" customWidth="1"/>
    <x:col min="5" max="5" width="22" hidden="0" customWidth="1"/>
    <x:col min="6" max="6" width="29" hidden="0" customWidth="1"/>
    <x:col min="7" max="7" width="14" hidden="0" customWidth="1"/>
    <x:col min="8" max="8" width="22" hidden="0" customWidth="1"/>
    <x:col min="9" max="9" width="38" hidden="0" customWidth="1"/>
    <x:col min="10" max="10" width="24" hidden="0" customWidth="1"/>
    <x:col min="11" max="11" width="18" hidden="0" customWidth="1"/>
    <x:col min="12" max="12" width="32" hidden="0" customWidth="1"/>
    <x:col min="13" max="13" width="42" hidden="0" customWidth="1"/>
    <x:col min="14" max="14" width="48" hidden="0" customWidth="1"/>
  </x:cols>
  <x:sheetData>
    <x:row r="1" ht="34" customHeight="1">
      <x:c r="A1" s="96" t="str">
        <x:v>Line</x:v>
      </x:c>
      <x:c r="B1" s="97" t="str">
        <x:v>Reference</x:v>
      </x:c>
      <x:c r="C1" s="97" t="str">
        <x:v>Rank</x:v>
      </x:c>
      <x:c r="D1" s="97" t="str">
        <x:v>Role</x:v>
      </x:c>
      <x:c r="E1" s="97" t="str">
        <x:v>Manufacturer</x:v>
      </x:c>
      <x:c r="F1" s="97" t="str">
        <x:v>MPN</x:v>
      </x:c>
      <x:c r="G1" s="97" t="str">
        <x:v>JLC/LCSC Code</x:v>
      </x:c>
      <x:c r="H1" s="97" t="str">
        <x:v>Package</x:v>
      </x:c>
      <x:c r="I1" s="97" t="str">
        <x:v>Key Specs</x:v>
      </x:c>
      <x:c r="J1" s="97" t="str">
        <x:v>Availability</x:v>
      </x:c>
      <x:c r="K1" s="97" t="str">
        <x:v>Price Indication</x:v>
      </x:c>
      <x:c r="L1" s="97" t="str">
        <x:v>Compatibility</x:v>
      </x:c>
      <x:c r="M1" s="97" t="str">
        <x:v>Candidate Notes</x:v>
      </x:c>
      <x:c r="N1" s="98" t="str">
        <x:v>Source URL</x:v>
      </x:c>
    </x:row>
    <x:row r="2">
      <x:c r="A2" s="99" t="n">
        <x:v>1</x:v>
      </x:c>
      <x:c r="B2" s="16" t="str">
        <x:v>C1,C2,C8,C26,C27,C28,C29</x:v>
      </x:c>
      <x:c r="C2" s="16" t="n">
        <x:v>1</x:v>
      </x:c>
      <x:c r="D2" s="16" t="str">
        <x:v>Primary</x:v>
      </x:c>
      <x:c r="E2" s="16" t="str">
        <x:v>Samsung Electro-Mechanics</x:v>
      </x:c>
      <x:c r="F2" s="16" t="str">
        <x:v>CL21A106KOQNNNE</x:v>
      </x:c>
      <x:c r="G2" s="16" t="str"/>
      <x:c r="H2" s="16" t="str">
        <x:v>0805</x:v>
      </x:c>
      <x:c r="I2" s="16" t="str">
        <x:v>10 µF, 16 V, X5R, ±10%</x:v>
      </x:c>
      <x:c r="J2" s="16" t="str">
        <x:v>Medium; exact Samsung listing varies</x:v>
      </x:c>
      <x:c r="K2" s="16" t="str"/>
      <x:c r="L2" s="16" t="str">
        <x:v>Drop-in</x:v>
      </x:c>
      <x:c r="M2" s="16" t="str"/>
      <x:c r="N2" s="113" t="str">
        <x:v>https://www.digikey.com/en/products/detail/samsung-electro-mechanics/CL21A106KOQNNNE/3886754</x:v>
      </x:c>
    </x:row>
    <x:row r="3">
      <x:c r="A3" s="99" t="n">
        <x:v>1</x:v>
      </x:c>
      <x:c r="B3" s="16" t="str">
        <x:v>C1,C2,C8,C26,C27,C28,C29</x:v>
      </x:c>
      <x:c r="C3" s="16" t="n">
        <x:v>2</x:v>
      </x:c>
      <x:c r="D3" s="16" t="str">
        <x:v>Alternative 1</x:v>
      </x:c>
      <x:c r="E3" s="16" t="str">
        <x:v>Murata</x:v>
      </x:c>
      <x:c r="F3" s="16" t="str">
        <x:v>GRM21BR61C106KE15L</x:v>
      </x:c>
      <x:c r="G3" s="16" t="str"/>
      <x:c r="H3" s="16" t="str">
        <x:v>0805</x:v>
      </x:c>
      <x:c r="I3" s="16" t="str">
        <x:v>10 µF, 16 V, X5R, ±10%</x:v>
      </x:c>
      <x:c r="J3" s="16" t="str">
        <x:v>High / commodity</x:v>
      </x:c>
      <x:c r="K3" s="16" t="str"/>
      <x:c r="L3" s="16" t="str">
        <x:v>Drop-in</x:v>
      </x:c>
      <x:c r="M3" s="16" t="str"/>
      <x:c r="N3" s="113" t="str">
        <x:v>https://www.digikey.com/en/products/result?keywords=GRM21BR61C106KE15L</x:v>
      </x:c>
    </x:row>
    <x:row r="4">
      <x:c r="A4" s="99" t="n">
        <x:v>1</x:v>
      </x:c>
      <x:c r="B4" s="16" t="str">
        <x:v>C1,C2,C8,C26,C27,C28,C29</x:v>
      </x:c>
      <x:c r="C4" s="16" t="n">
        <x:v>3</x:v>
      </x:c>
      <x:c r="D4" s="16" t="str">
        <x:v>Alternative 2</x:v>
      </x:c>
      <x:c r="E4" s="16" t="str">
        <x:v>Samsung Electro-Mechanics</x:v>
      </x:c>
      <x:c r="F4" s="16" t="str">
        <x:v>CL10A106KP8NNNC</x:v>
      </x:c>
      <x:c r="G4" s="16" t="str"/>
      <x:c r="H4" s="16" t="str">
        <x:v>0603</x:v>
      </x:c>
      <x:c r="I4" s="16" t="str">
        <x:v>10 µF, 10 V, X5R, ±10%</x:v>
      </x:c>
      <x:c r="J4" s="16" t="str">
        <x:v>High</x:v>
      </x:c>
      <x:c r="K4" s="16" t="str"/>
      <x:c r="L4" s="16" t="str">
        <x:v>Drop-in only for 0603 refs</x:v>
      </x:c>
      <x:c r="M4" s="16" t="str">
        <x:v>Do not use on a 12 V rail.</x:v>
      </x:c>
      <x:c r="N4" s="113" t="str">
        <x:v>https://www.digikey.com/en/products/result?keywords=CL10A106KP8NNNC</x:v>
      </x:c>
    </x:row>
    <x:row r="5">
      <x:c r="A5" s="99" t="n">
        <x:v>1</x:v>
      </x:c>
      <x:c r="B5" s="16" t="str">
        <x:v>C1,C2,C8,C26,C27,C28,C29</x:v>
      </x:c>
      <x:c r="C5" s="16" t="n">
        <x:v>4</x:v>
      </x:c>
      <x:c r="D5" s="16" t="str">
        <x:v>Alternative 3</x:v>
      </x:c>
      <x:c r="E5" s="16" t="str">
        <x:v>Murata</x:v>
      </x:c>
      <x:c r="F5" s="16" t="str">
        <x:v>GRM188R61A106KAAL</x:v>
      </x:c>
      <x:c r="G5" s="16" t="str"/>
      <x:c r="H5" s="16" t="str">
        <x:v>0603</x:v>
      </x:c>
      <x:c r="I5" s="16" t="str">
        <x:v>10 µF, 10 V, X5R, ±10%</x:v>
      </x:c>
      <x:c r="J5" s="16" t="str">
        <x:v>High</x:v>
      </x:c>
      <x:c r="K5" s="16" t="str"/>
      <x:c r="L5" s="16" t="str">
        <x:v>Drop-in only for 0603 refs</x:v>
      </x:c>
      <x:c r="M5" s="16" t="str">
        <x:v>Do not use on a 12 V rail.</x:v>
      </x:c>
      <x:c r="N5" s="113" t="str">
        <x:v>https://www.digikey.com/en/products/result?keywords=GRM188R61A106KAAL</x:v>
      </x:c>
    </x:row>
    <x:row r="6">
      <x:c r="A6" s="99" t="n">
        <x:v>2</x:v>
      </x:c>
      <x:c r="B6" s="16" t="str">
        <x:v>C3,C4,C7,C11,C12,C13,C14,C15,C16</x:v>
      </x:c>
      <x:c r="C6" s="16" t="n">
        <x:v>1</x:v>
      </x:c>
      <x:c r="D6" s="16" t="str">
        <x:v>Primary</x:v>
      </x:c>
      <x:c r="E6" s="16" t="str">
        <x:v>Yageo</x:v>
      </x:c>
      <x:c r="F6" s="16" t="str">
        <x:v>CC0603KRX7R9BB104</x:v>
      </x:c>
      <x:c r="G6" s="16" t="str"/>
      <x:c r="H6" s="16" t="str">
        <x:v>0603</x:v>
      </x:c>
      <x:c r="I6" s="16" t="str">
        <x:v>100 nF, 50 V, X7R, ±10%</x:v>
      </x:c>
      <x:c r="J6" s="16" t="str">
        <x:v>High / commodity</x:v>
      </x:c>
      <x:c r="K6" s="16" t="str"/>
      <x:c r="L6" s="16" t="str">
        <x:v>Drop-in</x:v>
      </x:c>
      <x:c r="M6" s="16" t="str"/>
      <x:c r="N6" s="113" t="str">
        <x:v>https://www.digikey.com/en/products/result?keywords=CC0603KRX7R9BB104</x:v>
      </x:c>
    </x:row>
    <x:row r="7">
      <x:c r="A7" s="99" t="n">
        <x:v>2</x:v>
      </x:c>
      <x:c r="B7" s="16" t="str">
        <x:v>C3,C4,C7,C11,C12,C13,C14,C15,C16</x:v>
      </x:c>
      <x:c r="C7" s="16" t="n">
        <x:v>2</x:v>
      </x:c>
      <x:c r="D7" s="16" t="str">
        <x:v>Alternative 1</x:v>
      </x:c>
      <x:c r="E7" s="16" t="str">
        <x:v>Murata</x:v>
      </x:c>
      <x:c r="F7" s="16" t="str">
        <x:v>GRM155R71H104KE14D</x:v>
      </x:c>
      <x:c r="G7" s="16" t="str"/>
      <x:c r="H7" s="16" t="str">
        <x:v>0402</x:v>
      </x:c>
      <x:c r="I7" s="16" t="str">
        <x:v>100 nF, 50 V, X7R, ±10%</x:v>
      </x:c>
      <x:c r="J7" s="16" t="str">
        <x:v>Very high / commodity</x:v>
      </x:c>
      <x:c r="K7" s="16" t="str"/>
      <x:c r="L7" s="16" t="str">
        <x:v>Drop-in only for 0402 refs</x:v>
      </x:c>
      <x:c r="M7" s="16" t="str"/>
      <x:c r="N7" s="113" t="str">
        <x:v>https://www.digikey.com/en/products/result?keywords=GRM155R71H104KE14D</x:v>
      </x:c>
    </x:row>
    <x:row r="8">
      <x:c r="A8" s="99" t="n">
        <x:v>2</x:v>
      </x:c>
      <x:c r="B8" s="16" t="str">
        <x:v>C3,C4,C7,C11,C12,C13,C14,C15,C16</x:v>
      </x:c>
      <x:c r="C8" s="16" t="n">
        <x:v>3</x:v>
      </x:c>
      <x:c r="D8" s="16" t="str">
        <x:v>Alternative 2</x:v>
      </x:c>
      <x:c r="E8" s="16" t="str">
        <x:v>Murata</x:v>
      </x:c>
      <x:c r="F8" s="16" t="str">
        <x:v>GRM033R71E104KE14D</x:v>
      </x:c>
      <x:c r="G8" s="16" t="str"/>
      <x:c r="H8" s="16" t="str">
        <x:v>0201</x:v>
      </x:c>
      <x:c r="I8" s="16" t="str">
        <x:v>100 nF, 25 V, X7R, ±10%</x:v>
      </x:c>
      <x:c r="J8" s="16" t="str">
        <x:v>High / commodity</x:v>
      </x:c>
      <x:c r="K8" s="16" t="str"/>
      <x:c r="L8" s="16" t="str">
        <x:v>Drop-in</x:v>
      </x:c>
      <x:c r="M8" s="16" t="str"/>
      <x:c r="N8" s="113" t="str">
        <x:v>https://www.digikey.com/en/products/result?keywords=GRM033R71E104KE14D</x:v>
      </x:c>
    </x:row>
    <x:row r="9">
      <x:c r="A9" s="99" t="n">
        <x:v>2</x:v>
      </x:c>
      <x:c r="B9" s="16" t="str">
        <x:v>C3,C4,C7,C11,C12,C13,C14,C15,C16</x:v>
      </x:c>
      <x:c r="C9" s="16" t="n">
        <x:v>4</x:v>
      </x:c>
      <x:c r="D9" s="16" t="str">
        <x:v>Alternative 3</x:v>
      </x:c>
      <x:c r="E9" s="16" t="str">
        <x:v>Samsung Electro-Mechanics</x:v>
      </x:c>
      <x:c r="F9" s="16" t="str">
        <x:v>CL10B104KB8NNNC</x:v>
      </x:c>
      <x:c r="G9" s="16" t="str"/>
      <x:c r="H9" s="16" t="str">
        <x:v>0603</x:v>
      </x:c>
      <x:c r="I9" s="16" t="str">
        <x:v>100 nF, 50 V, X7R, ±10%</x:v>
      </x:c>
      <x:c r="J9" s="16" t="str">
        <x:v>High / commodity</x:v>
      </x:c>
      <x:c r="K9" s="16" t="str"/>
      <x:c r="L9" s="16" t="str">
        <x:v>Drop-in</x:v>
      </x:c>
      <x:c r="M9" s="16" t="str"/>
      <x:c r="N9" s="113" t="str">
        <x:v>https://www.digikey.com/en/products/result?keywords=CL10B104KB8NNNC</x:v>
      </x:c>
    </x:row>
    <x:row r="10">
      <x:c r="A10" s="99" t="n">
        <x:v>3</x:v>
      </x:c>
      <x:c r="B10" s="16" t="str">
        <x:v>C5</x:v>
      </x:c>
      <x:c r="C10" s="16" t="n">
        <x:v>1</x:v>
      </x:c>
      <x:c r="D10" s="16" t="str">
        <x:v>Primary</x:v>
      </x:c>
      <x:c r="E10" s="16" t="str">
        <x:v>Murata</x:v>
      </x:c>
      <x:c r="F10" s="16" t="str">
        <x:v>GRM033R60J475ME05D</x:v>
      </x:c>
      <x:c r="G10" s="16" t="str"/>
      <x:c r="H10" s="16" t="str">
        <x:v>0201</x:v>
      </x:c>
      <x:c r="I10" s="16" t="str">
        <x:v>4.7 µF, 6.3 V, X5R, ±20%</x:v>
      </x:c>
      <x:c r="J10" s="16" t="str">
        <x:v>Available, specialty/high-capacitance 0201</x:v>
      </x:c>
      <x:c r="K10" s="16" t="str"/>
      <x:c r="L10" s="16" t="str">
        <x:v>Drop-in</x:v>
      </x:c>
      <x:c r="M10" s="16" t="str">
        <x:v>Check effective capacitance under DC bias; 0201 assembly is less forgiving.</x:v>
      </x:c>
      <x:c r="N10" s="113" t="str">
        <x:v>https://www.digikey.com/en/products/detail/murata-electronics/GRM033R60J475ME05D/16033659</x:v>
      </x:c>
    </x:row>
    <x:row r="11">
      <x:c r="A11" s="99" t="n">
        <x:v>3</x:v>
      </x:c>
      <x:c r="B11" s="16" t="str">
        <x:v>C5</x:v>
      </x:c>
      <x:c r="C11" s="16" t="n">
        <x:v>2</x:v>
      </x:c>
      <x:c r="D11" s="16" t="str">
        <x:v>Alternative 1</x:v>
      </x:c>
      <x:c r="E11" s="16" t="str">
        <x:v>Samsung Electro-Mechanics</x:v>
      </x:c>
      <x:c r="F11" s="16" t="str">
        <x:v>CL03A475MQ3CSNC</x:v>
      </x:c>
      <x:c r="G11" s="16" t="str"/>
      <x:c r="H11" s="16" t="str">
        <x:v>0201</x:v>
      </x:c>
      <x:c r="I11" s="16" t="str">
        <x:v>4.7 µF, 6.3 V, X5R, ±20%</x:v>
      </x:c>
      <x:c r="J11" s="16" t="str">
        <x:v>Specialty</x:v>
      </x:c>
      <x:c r="K11" s="16" t="str"/>
      <x:c r="L11" s="16" t="str">
        <x:v>Drop-in</x:v>
      </x:c>
      <x:c r="M11" s="16" t="str"/>
      <x:c r="N11" s="113" t="str">
        <x:v>https://www.digikey.com/en/products/result?keywords=CL03A475MQ3CSNC</x:v>
      </x:c>
    </x:row>
    <x:row r="12">
      <x:c r="A12" s="99" t="n">
        <x:v>3</x:v>
      </x:c>
      <x:c r="B12" s="16" t="str">
        <x:v>C5</x:v>
      </x:c>
      <x:c r="C12" s="16" t="n">
        <x:v>3</x:v>
      </x:c>
      <x:c r="D12" s="16" t="str">
        <x:v>Alternative 2</x:v>
      </x:c>
      <x:c r="E12" s="16" t="str">
        <x:v>TDK</x:v>
      </x:c>
      <x:c r="F12" s="16" t="str">
        <x:v>C0603X5R0J475M030BC</x:v>
      </x:c>
      <x:c r="G12" s="16" t="str"/>
      <x:c r="H12" s="16" t="str">
        <x:v>0201</x:v>
      </x:c>
      <x:c r="I12" s="16" t="str">
        <x:v>4.7 µF, 6.3 V, X5R, ±20%</x:v>
      </x:c>
      <x:c r="J12" s="16" t="str">
        <x:v>Specialty</x:v>
      </x:c>
      <x:c r="K12" s="16" t="str"/>
      <x:c r="L12" s="16" t="str">
        <x:v>Drop-in</x:v>
      </x:c>
      <x:c r="M12" s="16" t="str"/>
      <x:c r="N12" s="113" t="str">
        <x:v>https://www.digikey.com/en/products/result?keywords=C0603X5R0J475M030BC</x:v>
      </x:c>
    </x:row>
    <x:row r="13">
      <x:c r="A13" s="99" t="n">
        <x:v>3</x:v>
      </x:c>
      <x:c r="B13" s="16" t="str">
        <x:v>C5</x:v>
      </x:c>
      <x:c r="C13" s="16" t="n">
        <x:v>4</x:v>
      </x:c>
      <x:c r="D13" s="16" t="str">
        <x:v>Alternative 3</x:v>
      </x:c>
      <x:c r="E13" s="16" t="str">
        <x:v>Taiyo Yuden</x:v>
      </x:c>
      <x:c r="F13" s="16" t="str">
        <x:v>JMK063BJ475MP-F</x:v>
      </x:c>
      <x:c r="G13" s="16" t="str"/>
      <x:c r="H13" s="16" t="str">
        <x:v>0201</x:v>
      </x:c>
      <x:c r="I13" s="16" t="str">
        <x:v>4.7 µF, 6.3 V, X5R, ±20%</x:v>
      </x:c>
      <x:c r="J13" s="16" t="str">
        <x:v>Specialty</x:v>
      </x:c>
      <x:c r="K13" s="16" t="str"/>
      <x:c r="L13" s="16" t="str">
        <x:v>Drop-in</x:v>
      </x:c>
      <x:c r="M13" s="16" t="str"/>
      <x:c r="N13" s="113" t="str">
        <x:v>https://www.digikey.com/en/products/result?keywords=JMK063BJ475MP-F</x:v>
      </x:c>
    </x:row>
    <x:row r="14">
      <x:c r="A14" s="99" t="n">
        <x:v>4</x:v>
      </x:c>
      <x:c r="B14" s="16" t="str">
        <x:v>C6</x:v>
      </x:c>
      <x:c r="C14" s="16" t="n">
        <x:v>1</x:v>
      </x:c>
      <x:c r="D14" s="16" t="str">
        <x:v>Primary</x:v>
      </x:c>
      <x:c r="E14" s="16" t="str">
        <x:v>Murata</x:v>
      </x:c>
      <x:c r="F14" s="16" t="str">
        <x:v>GRM033R71H223KA12D</x:v>
      </x:c>
      <x:c r="G14" s="16" t="str"/>
      <x:c r="H14" s="16" t="str">
        <x:v>0201</x:v>
      </x:c>
      <x:c r="I14" s="16" t="str">
        <x:v>22 nF, 50 V, X7R, ±10%</x:v>
      </x:c>
      <x:c r="J14" s="16" t="str">
        <x:v>High / commodity</x:v>
      </x:c>
      <x:c r="K14" s="16" t="str"/>
      <x:c r="L14" s="16" t="str">
        <x:v>Drop-in</x:v>
      </x:c>
      <x:c r="M14" s="16" t="str"/>
      <x:c r="N14" s="113" t="str">
        <x:v>https://www.digikey.com/en/products/result?keywords=GRM033R71H223KA12D</x:v>
      </x:c>
    </x:row>
    <x:row r="15">
      <x:c r="A15" s="99" t="n">
        <x:v>4</x:v>
      </x:c>
      <x:c r="B15" s="16" t="str">
        <x:v>C6</x:v>
      </x:c>
      <x:c r="C15" s="16" t="n">
        <x:v>2</x:v>
      </x:c>
      <x:c r="D15" s="16" t="str">
        <x:v>Alternative 1</x:v>
      </x:c>
      <x:c r="E15" s="16" t="str">
        <x:v>TDK</x:v>
      </x:c>
      <x:c r="F15" s="16" t="str">
        <x:v>C0603X7R1H223K030BA</x:v>
      </x:c>
      <x:c r="G15" s="16" t="str"/>
      <x:c r="H15" s="16" t="str">
        <x:v>0201</x:v>
      </x:c>
      <x:c r="I15" s="16" t="str">
        <x:v>22 nF, 50 V, X7R, ±10%</x:v>
      </x:c>
      <x:c r="J15" s="16" t="str">
        <x:v>High / commodity</x:v>
      </x:c>
      <x:c r="K15" s="16" t="str"/>
      <x:c r="L15" s="16" t="str">
        <x:v>Drop-in</x:v>
      </x:c>
      <x:c r="M15" s="16" t="str"/>
      <x:c r="N15" s="113" t="str">
        <x:v>https://www.digikey.com/en/products/result?keywords=C0603X7R1H223K030BA</x:v>
      </x:c>
    </x:row>
    <x:row r="16">
      <x:c r="A16" s="99" t="n">
        <x:v>4</x:v>
      </x:c>
      <x:c r="B16" s="16" t="str">
        <x:v>C6</x:v>
      </x:c>
      <x:c r="C16" s="16" t="n">
        <x:v>3</x:v>
      </x:c>
      <x:c r="D16" s="16" t="str">
        <x:v>Alternative 2</x:v>
      </x:c>
      <x:c r="E16" s="16" t="str">
        <x:v>Samsung Electro-Mechanics</x:v>
      </x:c>
      <x:c r="F16" s="16" t="str">
        <x:v>CL03B223KB3NNNC</x:v>
      </x:c>
      <x:c r="G16" s="16" t="str"/>
      <x:c r="H16" s="16" t="str">
        <x:v>0201</x:v>
      </x:c>
      <x:c r="I16" s="16" t="str">
        <x:v>22 nF, 50 V, X7R, ±10%</x:v>
      </x:c>
      <x:c r="J16" s="16" t="str">
        <x:v>High / commodity</x:v>
      </x:c>
      <x:c r="K16" s="16" t="str"/>
      <x:c r="L16" s="16" t="str">
        <x:v>Drop-in</x:v>
      </x:c>
      <x:c r="M16" s="16" t="str"/>
      <x:c r="N16" s="113" t="str">
        <x:v>https://www.digikey.com/en/products/result?keywords=CL03B223KB3NNNC</x:v>
      </x:c>
    </x:row>
    <x:row r="17">
      <x:c r="A17" s="99" t="n">
        <x:v>4</x:v>
      </x:c>
      <x:c r="B17" s="16" t="str">
        <x:v>C6</x:v>
      </x:c>
      <x:c r="C17" s="16" t="n">
        <x:v>4</x:v>
      </x:c>
      <x:c r="D17" s="16" t="str">
        <x:v>Alternative 3</x:v>
      </x:c>
      <x:c r="E17" s="16" t="str">
        <x:v>Yageo</x:v>
      </x:c>
      <x:c r="F17" s="16" t="str">
        <x:v>CC0201KRX7R9BB223</x:v>
      </x:c>
      <x:c r="G17" s="16" t="str"/>
      <x:c r="H17" s="16" t="str">
        <x:v>0201</x:v>
      </x:c>
      <x:c r="I17" s="16" t="str">
        <x:v>22 nF, 50 V, X7R, ±10%</x:v>
      </x:c>
      <x:c r="J17" s="16" t="str">
        <x:v>High / commodity</x:v>
      </x:c>
      <x:c r="K17" s="16" t="str"/>
      <x:c r="L17" s="16" t="str">
        <x:v>Drop-in</x:v>
      </x:c>
      <x:c r="M17" s="16" t="str"/>
      <x:c r="N17" s="113" t="str">
        <x:v>https://www.digikey.com/en/products/result?keywords=CC0201KRX7R9BB223</x:v>
      </x:c>
    </x:row>
    <x:row r="18">
      <x:c r="A18" s="99" t="n">
        <x:v>5</x:v>
      </x:c>
      <x:c r="B18" s="16" t="str">
        <x:v>C9</x:v>
      </x:c>
      <x:c r="C18" s="16" t="n">
        <x:v>1</x:v>
      </x:c>
      <x:c r="D18" s="16" t="str">
        <x:v>Primary</x:v>
      </x:c>
      <x:c r="E18" s="16" t="str">
        <x:v>Panasonic</x:v>
      </x:c>
      <x:c r="F18" s="16" t="str">
        <x:v>EEE-FK1E101P</x:v>
      </x:c>
      <x:c r="G18" s="16" t="str"/>
      <x:c r="H18" s="16" t="str">
        <x:v>6.3 x 7.7 mm SMD can</x:v>
      </x:c>
      <x:c r="I18" s="16" t="str">
        <x:v>100 µF, 25 V, low-ESR aluminum electrolytic</x:v>
      </x:c>
      <x:c r="J18" s="16" t="str">
        <x:v>High</x:v>
      </x:c>
      <x:c r="K18" s="16" t="str"/>
      <x:c r="L18" s="16" t="str">
        <x:v>Mechanical match; verify land pattern</x:v>
      </x:c>
      <x:c r="M18" s="16" t="str"/>
      <x:c r="N18" s="113" t="str">
        <x:v>https://www.digikey.com/en/products/result?keywords=EEE-FK1E101P</x:v>
      </x:c>
    </x:row>
    <x:row r="19">
      <x:c r="A19" s="99" t="n">
        <x:v>5</x:v>
      </x:c>
      <x:c r="B19" s="16" t="str">
        <x:v>C9</x:v>
      </x:c>
      <x:c r="C19" s="16" t="n">
        <x:v>2</x:v>
      </x:c>
      <x:c r="D19" s="16" t="str">
        <x:v>Alternative 1</x:v>
      </x:c>
      <x:c r="E19" s="16" t="str">
        <x:v>Nichicon</x:v>
      </x:c>
      <x:c r="F19" s="16" t="str">
        <x:v>UWT1E101MCL1GS</x:v>
      </x:c>
      <x:c r="G19" s="16" t="str"/>
      <x:c r="H19" s="16" t="str">
        <x:v>6.3 x 7.7 mm SMD can</x:v>
      </x:c>
      <x:c r="I19" s="16" t="str">
        <x:v>100 µF, 25 V aluminum electrolytic</x:v>
      </x:c>
      <x:c r="J19" s="16" t="str">
        <x:v>High</x:v>
      </x:c>
      <x:c r="K19" s="16" t="str"/>
      <x:c r="L19" s="16" t="str">
        <x:v>Mechanical match; verify land pattern</x:v>
      </x:c>
      <x:c r="M19" s="16" t="str"/>
      <x:c r="N19" s="113" t="str">
        <x:v>https://www.digikey.com/en/products/result?keywords=UWT1E101MCL1GS</x:v>
      </x:c>
    </x:row>
    <x:row r="20">
      <x:c r="A20" s="99" t="n">
        <x:v>5</x:v>
      </x:c>
      <x:c r="B20" s="16" t="str">
        <x:v>C9</x:v>
      </x:c>
      <x:c r="C20" s="16" t="n">
        <x:v>3</x:v>
      </x:c>
      <x:c r="D20" s="16" t="str">
        <x:v>Alternative 2</x:v>
      </x:c>
      <x:c r="E20" s="16" t="str">
        <x:v>United Chemi-Con</x:v>
      </x:c>
      <x:c r="F20" s="16" t="str">
        <x:v>EMVE250ADA101MF80G</x:v>
      </x:c>
      <x:c r="G20" s="16" t="str"/>
      <x:c r="H20" s="16" t="str">
        <x:v>6.3 x 7.7 mm SMD can</x:v>
      </x:c>
      <x:c r="I20" s="16" t="str">
        <x:v>100 µF, 25 V aluminum electrolytic</x:v>
      </x:c>
      <x:c r="J20" s="16" t="str">
        <x:v>High</x:v>
      </x:c>
      <x:c r="K20" s="16" t="str"/>
      <x:c r="L20" s="16" t="str">
        <x:v>Mechanical match; verify land pattern</x:v>
      </x:c>
      <x:c r="M20" s="16" t="str"/>
      <x:c r="N20" s="113" t="str">
        <x:v>https://www.digikey.com/en/products/result?keywords=EMVE250ADA101MF80G</x:v>
      </x:c>
    </x:row>
    <x:row r="21">
      <x:c r="A21" s="99" t="n">
        <x:v>5</x:v>
      </x:c>
      <x:c r="B21" s="16" t="str">
        <x:v>C9</x:v>
      </x:c>
      <x:c r="C21" s="16" t="n">
        <x:v>4</x:v>
      </x:c>
      <x:c r="D21" s="16" t="str">
        <x:v>Alternative 3</x:v>
      </x:c>
      <x:c r="E21" s="16" t="str">
        <x:v>Rubycon</x:v>
      </x:c>
      <x:c r="F21" s="16" t="str">
        <x:v>25SEV100M6.3X8</x:v>
      </x:c>
      <x:c r="G21" s="16" t="str"/>
      <x:c r="H21" s="16" t="str">
        <x:v>6.3 x 7.7/8 mm SMD can</x:v>
      </x:c>
      <x:c r="I21" s="16" t="str">
        <x:v>100 µF, 25 V aluminum electrolytic</x:v>
      </x:c>
      <x:c r="J21" s="16" t="str">
        <x:v>Medium</x:v>
      </x:c>
      <x:c r="K21" s="16" t="str"/>
      <x:c r="L21" s="16" t="str">
        <x:v>Verify land pattern and height</x:v>
      </x:c>
      <x:c r="M21" s="16" t="str"/>
      <x:c r="N21" s="113" t="str">
        <x:v>https://www.digikey.com/en/products/result?keywords=25SEV100M6.3X8</x:v>
      </x:c>
    </x:row>
    <x:row r="22">
      <x:c r="A22" s="99" t="n">
        <x:v>6</x:v>
      </x:c>
      <x:c r="B22" s="16" t="str">
        <x:v>C10</x:v>
      </x:c>
      <x:c r="C22" s="16" t="n">
        <x:v>1</x:v>
      </x:c>
      <x:c r="D22" s="16" t="str">
        <x:v>Primary</x:v>
      </x:c>
      <x:c r="E22" s="16" t="str">
        <x:v>Yageo</x:v>
      </x:c>
      <x:c r="F22" s="16" t="str">
        <x:v>CC0603KRX7R9BB104</x:v>
      </x:c>
      <x:c r="G22" s="16" t="str"/>
      <x:c r="H22" s="16" t="str">
        <x:v>0603</x:v>
      </x:c>
      <x:c r="I22" s="16" t="str">
        <x:v>100 nF, 50 V, X7R, ±10%</x:v>
      </x:c>
      <x:c r="J22" s="16" t="str">
        <x:v>High / commodity</x:v>
      </x:c>
      <x:c r="K22" s="16" t="str"/>
      <x:c r="L22" s="16" t="str">
        <x:v>Drop-in</x:v>
      </x:c>
      <x:c r="M22" s="16" t="str"/>
      <x:c r="N22" s="113" t="str">
        <x:v>https://www.digikey.com/en/products/result?keywords=CC0603KRX7R9BB104</x:v>
      </x:c>
    </x:row>
    <x:row r="23">
      <x:c r="A23" s="99" t="n">
        <x:v>6</x:v>
      </x:c>
      <x:c r="B23" s="16" t="str">
        <x:v>C10</x:v>
      </x:c>
      <x:c r="C23" s="16" t="n">
        <x:v>2</x:v>
      </x:c>
      <x:c r="D23" s="16" t="str">
        <x:v>Alternative 1</x:v>
      </x:c>
      <x:c r="E23" s="16" t="str">
        <x:v>Murata</x:v>
      </x:c>
      <x:c r="F23" s="16" t="str">
        <x:v>GRM188R71H104KA93D</x:v>
      </x:c>
      <x:c r="G23" s="16" t="str"/>
      <x:c r="H23" s="16" t="str">
        <x:v>0603</x:v>
      </x:c>
      <x:c r="I23" s="16" t="str">
        <x:v>100 nF, 50 V, X7R, ±10%</x:v>
      </x:c>
      <x:c r="J23" s="16" t="str">
        <x:v>High / commodity</x:v>
      </x:c>
      <x:c r="K23" s="16" t="str"/>
      <x:c r="L23" s="16" t="str">
        <x:v>Drop-in</x:v>
      </x:c>
      <x:c r="M23" s="16" t="str"/>
      <x:c r="N23" s="113" t="str">
        <x:v>https://www.digikey.com/en/products/result?keywords=GRM188R71H104KA93D</x:v>
      </x:c>
    </x:row>
    <x:row r="24">
      <x:c r="A24" s="99" t="n">
        <x:v>6</x:v>
      </x:c>
      <x:c r="B24" s="16" t="str">
        <x:v>C10</x:v>
      </x:c>
      <x:c r="C24" s="16" t="n">
        <x:v>3</x:v>
      </x:c>
      <x:c r="D24" s="16" t="str">
        <x:v>Alternative 2</x:v>
      </x:c>
      <x:c r="E24" s="16" t="str">
        <x:v>TDK</x:v>
      </x:c>
      <x:c r="F24" s="16" t="str">
        <x:v>C1608X7R1H104K080AA</x:v>
      </x:c>
      <x:c r="G24" s="16" t="str"/>
      <x:c r="H24" s="16" t="str">
        <x:v>0603</x:v>
      </x:c>
      <x:c r="I24" s="16" t="str">
        <x:v>100 nF, 50 V, X7R, ±10%</x:v>
      </x:c>
      <x:c r="J24" s="16" t="str">
        <x:v>High / commodity</x:v>
      </x:c>
      <x:c r="K24" s="16" t="str"/>
      <x:c r="L24" s="16" t="str">
        <x:v>Drop-in</x:v>
      </x:c>
      <x:c r="M24" s="16" t="str"/>
      <x:c r="N24" s="113" t="str">
        <x:v>https://www.digikey.com/en/products/result?keywords=C1608X7R1H104K080AA</x:v>
      </x:c>
    </x:row>
    <x:row r="25">
      <x:c r="A25" s="99" t="n">
        <x:v>6</x:v>
      </x:c>
      <x:c r="B25" s="16" t="str">
        <x:v>C10</x:v>
      </x:c>
      <x:c r="C25" s="16" t="n">
        <x:v>4</x:v>
      </x:c>
      <x:c r="D25" s="16" t="str">
        <x:v>Alternative 3</x:v>
      </x:c>
      <x:c r="E25" s="16" t="str">
        <x:v>Samsung Electro-Mechanics</x:v>
      </x:c>
      <x:c r="F25" s="16" t="str">
        <x:v>CL10B104KB8NNNC</x:v>
      </x:c>
      <x:c r="G25" s="16" t="str"/>
      <x:c r="H25" s="16" t="str">
        <x:v>0603</x:v>
      </x:c>
      <x:c r="I25" s="16" t="str">
        <x:v>100 nF, 50 V, X7R, ±10%</x:v>
      </x:c>
      <x:c r="J25" s="16" t="str">
        <x:v>High / commodity</x:v>
      </x:c>
      <x:c r="K25" s="16" t="str"/>
      <x:c r="L25" s="16" t="str">
        <x:v>Drop-in</x:v>
      </x:c>
      <x:c r="M25" s="16" t="str"/>
      <x:c r="N25" s="113" t="str">
        <x:v>https://www.digikey.com/en/products/result?keywords=CL10B104KB8NNNC</x:v>
      </x:c>
    </x:row>
    <x:row r="26">
      <x:c r="A26" s="99" t="n">
        <x:v>7</x:v>
      </x:c>
      <x:c r="B26" s="16" t="str">
        <x:v>C17,C19</x:v>
      </x:c>
      <x:c r="C26" s="16" t="n">
        <x:v>1</x:v>
      </x:c>
      <x:c r="D26" s="16" t="str">
        <x:v>Primary</x:v>
      </x:c>
      <x:c r="E26" s="16" t="str">
        <x:v>Murata</x:v>
      </x:c>
      <x:c r="F26" s="16" t="str">
        <x:v>GRM033R71H682KA12D</x:v>
      </x:c>
      <x:c r="G26" s="16" t="str"/>
      <x:c r="H26" s="16" t="str">
        <x:v>0201</x:v>
      </x:c>
      <x:c r="I26" s="16" t="str">
        <x:v>6.8 nF, 50 V, X7R, ±10%</x:v>
      </x:c>
      <x:c r="J26" s="16" t="str">
        <x:v>High / commodity</x:v>
      </x:c>
      <x:c r="K26" s="16" t="str"/>
      <x:c r="L26" s="16" t="str">
        <x:v>Drop-in</x:v>
      </x:c>
      <x:c r="M26" s="16" t="str"/>
      <x:c r="N26" s="113" t="str">
        <x:v>https://www.digikey.com/en/products/result?keywords=GRM033R71H682KA12D</x:v>
      </x:c>
    </x:row>
    <x:row r="27">
      <x:c r="A27" s="99" t="n">
        <x:v>7</x:v>
      </x:c>
      <x:c r="B27" s="16" t="str">
        <x:v>C17,C19</x:v>
      </x:c>
      <x:c r="C27" s="16" t="n">
        <x:v>2</x:v>
      </x:c>
      <x:c r="D27" s="16" t="str">
        <x:v>Alternative 1</x:v>
      </x:c>
      <x:c r="E27" s="16" t="str">
        <x:v>TDK</x:v>
      </x:c>
      <x:c r="F27" s="16" t="str">
        <x:v>C0603X7R1H682K030BA</x:v>
      </x:c>
      <x:c r="G27" s="16" t="str"/>
      <x:c r="H27" s="16" t="str">
        <x:v>0201</x:v>
      </x:c>
      <x:c r="I27" s="16" t="str">
        <x:v>6.8 nF, 50 V, X7R, ±10%</x:v>
      </x:c>
      <x:c r="J27" s="16" t="str">
        <x:v>High / commodity</x:v>
      </x:c>
      <x:c r="K27" s="16" t="str"/>
      <x:c r="L27" s="16" t="str">
        <x:v>Drop-in</x:v>
      </x:c>
      <x:c r="M27" s="16" t="str"/>
      <x:c r="N27" s="113" t="str">
        <x:v>https://www.digikey.com/en/products/result?keywords=C0603X7R1H682K030BA</x:v>
      </x:c>
    </x:row>
    <x:row r="28">
      <x:c r="A28" s="99" t="n">
        <x:v>7</x:v>
      </x:c>
      <x:c r="B28" s="16" t="str">
        <x:v>C17,C19</x:v>
      </x:c>
      <x:c r="C28" s="16" t="n">
        <x:v>3</x:v>
      </x:c>
      <x:c r="D28" s="16" t="str">
        <x:v>Alternative 2</x:v>
      </x:c>
      <x:c r="E28" s="16" t="str">
        <x:v>Samsung Electro-Mechanics</x:v>
      </x:c>
      <x:c r="F28" s="16" t="str">
        <x:v>CL03B682KB3NNNC</x:v>
      </x:c>
      <x:c r="G28" s="16" t="str"/>
      <x:c r="H28" s="16" t="str">
        <x:v>0201</x:v>
      </x:c>
      <x:c r="I28" s="16" t="str">
        <x:v>6.8 nF, 50 V, X7R, ±10%</x:v>
      </x:c>
      <x:c r="J28" s="16" t="str">
        <x:v>High / commodity</x:v>
      </x:c>
      <x:c r="K28" s="16" t="str"/>
      <x:c r="L28" s="16" t="str">
        <x:v>Drop-in</x:v>
      </x:c>
      <x:c r="M28" s="16" t="str"/>
      <x:c r="N28" s="113" t="str">
        <x:v>https://www.digikey.com/en/products/result?keywords=CL03B682KB3NNNC</x:v>
      </x:c>
    </x:row>
    <x:row r="29">
      <x:c r="A29" s="99" t="n">
        <x:v>7</x:v>
      </x:c>
      <x:c r="B29" s="16" t="str">
        <x:v>C17,C19</x:v>
      </x:c>
      <x:c r="C29" s="16" t="n">
        <x:v>4</x:v>
      </x:c>
      <x:c r="D29" s="16" t="str">
        <x:v>Alternative 3</x:v>
      </x:c>
      <x:c r="E29" s="16" t="str">
        <x:v>Yageo</x:v>
      </x:c>
      <x:c r="F29" s="16" t="str">
        <x:v>CC0201KRX7R9BB682</x:v>
      </x:c>
      <x:c r="G29" s="16" t="str"/>
      <x:c r="H29" s="16" t="str">
        <x:v>0201</x:v>
      </x:c>
      <x:c r="I29" s="16" t="str">
        <x:v>6.8 nF, 50 V, X7R, ±10%</x:v>
      </x:c>
      <x:c r="J29" s="16" t="str">
        <x:v>High / commodity</x:v>
      </x:c>
      <x:c r="K29" s="16" t="str"/>
      <x:c r="L29" s="16" t="str">
        <x:v>Drop-in</x:v>
      </x:c>
      <x:c r="M29" s="16" t="str"/>
      <x:c r="N29" s="113" t="str">
        <x:v>https://www.digikey.com/en/products/result?keywords=CC0201KRX7R9BB682</x:v>
      </x:c>
    </x:row>
    <x:row r="30">
      <x:c r="A30" s="99" t="n">
        <x:v>8</x:v>
      </x:c>
      <x:c r="B30" s="16" t="str">
        <x:v>C18</x:v>
      </x:c>
      <x:c r="C30" s="16" t="n">
        <x:v>1</x:v>
      </x:c>
      <x:c r="D30" s="16" t="str">
        <x:v>Primary</x:v>
      </x:c>
      <x:c r="E30" s="16" t="str">
        <x:v>Samsung Electro-Mechanics</x:v>
      </x:c>
      <x:c r="F30" s="16" t="str">
        <x:v>CL21A106KOQNNNE</x:v>
      </x:c>
      <x:c r="G30" s="16" t="str"/>
      <x:c r="H30" s="16" t="str">
        <x:v>0805</x:v>
      </x:c>
      <x:c r="I30" s="16" t="str">
        <x:v>10 µF, 16 V, X5R, ±10%</x:v>
      </x:c>
      <x:c r="J30" s="16" t="str">
        <x:v>Medium; exact Samsung listing varies</x:v>
      </x:c>
      <x:c r="K30" s="16" t="str"/>
      <x:c r="L30" s="16" t="str">
        <x:v>Drop-in</x:v>
      </x:c>
      <x:c r="M30" s="16" t="str"/>
      <x:c r="N30" s="113" t="str">
        <x:v>https://www.digikey.com/en/products/detail/samsung-electro-mechanics/CL21A106KOQNNNE/3886754</x:v>
      </x:c>
    </x:row>
    <x:row r="31">
      <x:c r="A31" s="99" t="n">
        <x:v>8</x:v>
      </x:c>
      <x:c r="B31" s="16" t="str">
        <x:v>C18</x:v>
      </x:c>
      <x:c r="C31" s="16" t="n">
        <x:v>2</x:v>
      </x:c>
      <x:c r="D31" s="16" t="str">
        <x:v>Alternative 1</x:v>
      </x:c>
      <x:c r="E31" s="16" t="str">
        <x:v>Murata</x:v>
      </x:c>
      <x:c r="F31" s="16" t="str">
        <x:v>GRM21BR61C106KE15L</x:v>
      </x:c>
      <x:c r="G31" s="16" t="str"/>
      <x:c r="H31" s="16" t="str">
        <x:v>0805</x:v>
      </x:c>
      <x:c r="I31" s="16" t="str">
        <x:v>10 µF, 16 V, X5R, ±10%</x:v>
      </x:c>
      <x:c r="J31" s="16" t="str">
        <x:v>High / commodity</x:v>
      </x:c>
      <x:c r="K31" s="16" t="str"/>
      <x:c r="L31" s="16" t="str">
        <x:v>Drop-in</x:v>
      </x:c>
      <x:c r="M31" s="16" t="str"/>
      <x:c r="N31" s="113" t="str">
        <x:v>https://www.digikey.com/en/products/result?keywords=GRM21BR61C106KE15L</x:v>
      </x:c>
    </x:row>
    <x:row r="32">
      <x:c r="A32" s="99" t="n">
        <x:v>8</x:v>
      </x:c>
      <x:c r="B32" s="16" t="str">
        <x:v>C18</x:v>
      </x:c>
      <x:c r="C32" s="16" t="n">
        <x:v>3</x:v>
      </x:c>
      <x:c r="D32" s="16" t="str">
        <x:v>Alternative 2</x:v>
      </x:c>
      <x:c r="E32" s="16" t="str">
        <x:v>TDK</x:v>
      </x:c>
      <x:c r="F32" s="16" t="str">
        <x:v>C2012X5R1C106K125AC</x:v>
      </x:c>
      <x:c r="G32" s="16" t="str"/>
      <x:c r="H32" s="16" t="str">
        <x:v>0805</x:v>
      </x:c>
      <x:c r="I32" s="16" t="str">
        <x:v>10 µF, 16 V, X5R, ±10%</x:v>
      </x:c>
      <x:c r="J32" s="16" t="str">
        <x:v>High / commodity</x:v>
      </x:c>
      <x:c r="K32" s="16" t="str"/>
      <x:c r="L32" s="16" t="str">
        <x:v>Drop-in</x:v>
      </x:c>
      <x:c r="M32" s="16" t="str"/>
      <x:c r="N32" s="113" t="str">
        <x:v>https://www.digikey.com/en/products/result?keywords=C2012X5R1C106K125AC</x:v>
      </x:c>
    </x:row>
    <x:row r="33">
      <x:c r="A33" s="99" t="n">
        <x:v>8</x:v>
      </x:c>
      <x:c r="B33" s="16" t="str">
        <x:v>C18</x:v>
      </x:c>
      <x:c r="C33" s="16" t="n">
        <x:v>4</x:v>
      </x:c>
      <x:c r="D33" s="16" t="str">
        <x:v>Alternative 3</x:v>
      </x:c>
      <x:c r="E33" s="16" t="str">
        <x:v>Taiyo Yuden</x:v>
      </x:c>
      <x:c r="F33" s="16" t="str">
        <x:v>EMK212BBJ106KG-T</x:v>
      </x:c>
      <x:c r="G33" s="16" t="str"/>
      <x:c r="H33" s="16" t="str">
        <x:v>0805</x:v>
      </x:c>
      <x:c r="I33" s="16" t="str">
        <x:v>10 µF, 16 V, X5R, ±10%</x:v>
      </x:c>
      <x:c r="J33" s="16" t="str">
        <x:v>High / commodity</x:v>
      </x:c>
      <x:c r="K33" s="16" t="str"/>
      <x:c r="L33" s="16" t="str">
        <x:v>Drop-in</x:v>
      </x:c>
      <x:c r="M33" s="16" t="str"/>
      <x:c r="N33" s="113" t="str">
        <x:v>https://www.digikey.com/en/products/result?keywords=EMK212BBJ106KG-T</x:v>
      </x:c>
    </x:row>
    <x:row r="34">
      <x:c r="A34" s="99" t="n">
        <x:v>9</x:v>
      </x:c>
      <x:c r="B34" s="16" t="str">
        <x:v>C20,C23</x:v>
      </x:c>
      <x:c r="C34" s="16" t="n">
        <x:v>1</x:v>
      </x:c>
      <x:c r="D34" s="16" t="str">
        <x:v>Primary</x:v>
      </x:c>
      <x:c r="E34" s="16" t="str">
        <x:v>Murata</x:v>
      </x:c>
      <x:c r="F34" s="16" t="str">
        <x:v>GRM033R71H103KA12D</x:v>
      </x:c>
      <x:c r="G34" s="16" t="str"/>
      <x:c r="H34" s="16" t="str">
        <x:v>0201</x:v>
      </x:c>
      <x:c r="I34" s="16" t="str">
        <x:v>10 nF, 50 V, X7R, ±10%</x:v>
      </x:c>
      <x:c r="J34" s="16" t="str">
        <x:v>High / commodity</x:v>
      </x:c>
      <x:c r="K34" s="16" t="str"/>
      <x:c r="L34" s="16" t="str">
        <x:v>Drop-in</x:v>
      </x:c>
      <x:c r="M34" s="16" t="str"/>
      <x:c r="N34" s="113" t="str">
        <x:v>https://www.digikey.com/en/products/result?keywords=GRM033R71H103KA12D</x:v>
      </x:c>
    </x:row>
    <x:row r="35">
      <x:c r="A35" s="99" t="n">
        <x:v>9</x:v>
      </x:c>
      <x:c r="B35" s="16" t="str">
        <x:v>C20,C23</x:v>
      </x:c>
      <x:c r="C35" s="16" t="n">
        <x:v>2</x:v>
      </x:c>
      <x:c r="D35" s="16" t="str">
        <x:v>Alternative 1</x:v>
      </x:c>
      <x:c r="E35" s="16" t="str">
        <x:v>TDK</x:v>
      </x:c>
      <x:c r="F35" s="16" t="str">
        <x:v>C0603X7R1H103K030BB</x:v>
      </x:c>
      <x:c r="G35" s="16" t="str"/>
      <x:c r="H35" s="16" t="str">
        <x:v>0201</x:v>
      </x:c>
      <x:c r="I35" s="16" t="str">
        <x:v>10 nF, 50 V, X7R, ±10%</x:v>
      </x:c>
      <x:c r="J35" s="16" t="str">
        <x:v>High / commodity</x:v>
      </x:c>
      <x:c r="K35" s="16" t="str"/>
      <x:c r="L35" s="16" t="str">
        <x:v>Drop-in</x:v>
      </x:c>
      <x:c r="M35" s="16" t="str"/>
      <x:c r="N35" s="113" t="str">
        <x:v>https://www.digikey.com/en/products/result?keywords=C0603X7R1H103K030BB</x:v>
      </x:c>
    </x:row>
    <x:row r="36">
      <x:c r="A36" s="99" t="n">
        <x:v>9</x:v>
      </x:c>
      <x:c r="B36" s="16" t="str">
        <x:v>C20,C23</x:v>
      </x:c>
      <x:c r="C36" s="16" t="n">
        <x:v>3</x:v>
      </x:c>
      <x:c r="D36" s="16" t="str">
        <x:v>Alternative 2</x:v>
      </x:c>
      <x:c r="E36" s="16" t="str">
        <x:v>Samsung Electro-Mechanics</x:v>
      </x:c>
      <x:c r="F36" s="16" t="str">
        <x:v>CL03B103KB3NNNC</x:v>
      </x:c>
      <x:c r="G36" s="16" t="str"/>
      <x:c r="H36" s="16" t="str">
        <x:v>0201</x:v>
      </x:c>
      <x:c r="I36" s="16" t="str">
        <x:v>10 nF, 50 V, X7R, ±10%</x:v>
      </x:c>
      <x:c r="J36" s="16" t="str">
        <x:v>High / commodity</x:v>
      </x:c>
      <x:c r="K36" s="16" t="str"/>
      <x:c r="L36" s="16" t="str">
        <x:v>Drop-in</x:v>
      </x:c>
      <x:c r="M36" s="16" t="str"/>
      <x:c r="N36" s="113" t="str">
        <x:v>https://www.digikey.com/en/products/result?keywords=CL03B103KB3NNNC</x:v>
      </x:c>
    </x:row>
    <x:row r="37">
      <x:c r="A37" s="99" t="n">
        <x:v>9</x:v>
      </x:c>
      <x:c r="B37" s="16" t="str">
        <x:v>C20,C23</x:v>
      </x:c>
      <x:c r="C37" s="16" t="n">
        <x:v>4</x:v>
      </x:c>
      <x:c r="D37" s="16" t="str">
        <x:v>Alternative 3</x:v>
      </x:c>
      <x:c r="E37" s="16" t="str">
        <x:v>Yageo</x:v>
      </x:c>
      <x:c r="F37" s="16" t="str">
        <x:v>CC0201KRX7R9BB103</x:v>
      </x:c>
      <x:c r="G37" s="16" t="str"/>
      <x:c r="H37" s="16" t="str">
        <x:v>0201</x:v>
      </x:c>
      <x:c r="I37" s="16" t="str">
        <x:v>10 nF, 50 V, X7R, ±10%</x:v>
      </x:c>
      <x:c r="J37" s="16" t="str">
        <x:v>High / commodity</x:v>
      </x:c>
      <x:c r="K37" s="16" t="str"/>
      <x:c r="L37" s="16" t="str">
        <x:v>Drop-in</x:v>
      </x:c>
      <x:c r="M37" s="16" t="str"/>
      <x:c r="N37" s="113" t="str">
        <x:v>https://www.digikey.com/en/products/result?keywords=CC0201KRX7R9BB103</x:v>
      </x:c>
    </x:row>
    <x:row r="38">
      <x:c r="A38" s="99" t="n">
        <x:v>10</x:v>
      </x:c>
      <x:c r="B38" s="16" t="str">
        <x:v>C21,C22</x:v>
      </x:c>
      <x:c r="C38" s="16" t="n">
        <x:v>1</x:v>
      </x:c>
      <x:c r="D38" s="16" t="str">
        <x:v>Primary</x:v>
      </x:c>
      <x:c r="E38" s="16" t="str">
        <x:v>Murata</x:v>
      </x:c>
      <x:c r="F38" s="16" t="str">
        <x:v>GRM0335C1H180JA01D</x:v>
      </x:c>
      <x:c r="G38" s="16" t="str"/>
      <x:c r="H38" s="16" t="str">
        <x:v>0201</x:v>
      </x:c>
      <x:c r="I38" s="16" t="str">
        <x:v>18 pF, 50 V, C0G/NP0, ±5%</x:v>
      </x:c>
      <x:c r="J38" s="16" t="str">
        <x:v>High / commodity</x:v>
      </x:c>
      <x:c r="K38" s="16" t="str"/>
      <x:c r="L38" s="16" t="str">
        <x:v>Drop-in</x:v>
      </x:c>
      <x:c r="M38" s="16" t="str"/>
      <x:c r="N38" s="113" t="str">
        <x:v>https://www.digikey.com/en/products/result?keywords=GRM0335C1H180JA01D</x:v>
      </x:c>
    </x:row>
    <x:row r="39">
      <x:c r="A39" s="99" t="n">
        <x:v>10</x:v>
      </x:c>
      <x:c r="B39" s="16" t="str">
        <x:v>C21,C22</x:v>
      </x:c>
      <x:c r="C39" s="16" t="n">
        <x:v>2</x:v>
      </x:c>
      <x:c r="D39" s="16" t="str">
        <x:v>Alternative 1</x:v>
      </x:c>
      <x:c r="E39" s="16" t="str">
        <x:v>TDK</x:v>
      </x:c>
      <x:c r="F39" s="16" t="str">
        <x:v>C0603C0G1H180J030BA</x:v>
      </x:c>
      <x:c r="G39" s="16" t="str"/>
      <x:c r="H39" s="16" t="str">
        <x:v>0201</x:v>
      </x:c>
      <x:c r="I39" s="16" t="str">
        <x:v>18 pF, 50 V, C0G/NP0, ±5%</x:v>
      </x:c>
      <x:c r="J39" s="16" t="str">
        <x:v>High / commodity</x:v>
      </x:c>
      <x:c r="K39" s="16" t="str"/>
      <x:c r="L39" s="16" t="str">
        <x:v>Drop-in</x:v>
      </x:c>
      <x:c r="M39" s="16" t="str"/>
      <x:c r="N39" s="113" t="str">
        <x:v>https://www.digikey.com/en/products/result?keywords=C0603C0G1H180J030BA</x:v>
      </x:c>
    </x:row>
    <x:row r="40">
      <x:c r="A40" s="99" t="n">
        <x:v>10</x:v>
      </x:c>
      <x:c r="B40" s="16" t="str">
        <x:v>C21,C22</x:v>
      </x:c>
      <x:c r="C40" s="16" t="n">
        <x:v>3</x:v>
      </x:c>
      <x:c r="D40" s="16" t="str">
        <x:v>Alternative 2</x:v>
      </x:c>
      <x:c r="E40" s="16" t="str">
        <x:v>Samsung Electro-Mechanics</x:v>
      </x:c>
      <x:c r="F40" s="16" t="str">
        <x:v>CL03C180JB3NNNC</x:v>
      </x:c>
      <x:c r="G40" s="16" t="str"/>
      <x:c r="H40" s="16" t="str">
        <x:v>0201</x:v>
      </x:c>
      <x:c r="I40" s="16" t="str">
        <x:v>18 pF, 50 V, C0G/NP0, ±5%</x:v>
      </x:c>
      <x:c r="J40" s="16" t="str">
        <x:v>High / commodity</x:v>
      </x:c>
      <x:c r="K40" s="16" t="str"/>
      <x:c r="L40" s="16" t="str">
        <x:v>Drop-in</x:v>
      </x:c>
      <x:c r="M40" s="16" t="str"/>
      <x:c r="N40" s="113" t="str">
        <x:v>https://www.digikey.com/en/products/result?keywords=CL03C180JB3NNNC</x:v>
      </x:c>
    </x:row>
    <x:row r="41">
      <x:c r="A41" s="99" t="n">
        <x:v>10</x:v>
      </x:c>
      <x:c r="B41" s="16" t="str">
        <x:v>C21,C22</x:v>
      </x:c>
      <x:c r="C41" s="16" t="n">
        <x:v>4</x:v>
      </x:c>
      <x:c r="D41" s="16" t="str">
        <x:v>Alternative 3</x:v>
      </x:c>
      <x:c r="E41" s="16" t="str">
        <x:v>Yageo</x:v>
      </x:c>
      <x:c r="F41" s="16" t="str">
        <x:v>CC0201JRNPO9BN180</x:v>
      </x:c>
      <x:c r="G41" s="16" t="str"/>
      <x:c r="H41" s="16" t="str">
        <x:v>0201</x:v>
      </x:c>
      <x:c r="I41" s="16" t="str">
        <x:v>18 pF, 50 V, C0G/NP0, ±5%</x:v>
      </x:c>
      <x:c r="J41" s="16" t="str">
        <x:v>High / commodity</x:v>
      </x:c>
      <x:c r="K41" s="16" t="str"/>
      <x:c r="L41" s="16" t="str">
        <x:v>Drop-in</x:v>
      </x:c>
      <x:c r="M41" s="16" t="str"/>
      <x:c r="N41" s="113" t="str">
        <x:v>https://www.digikey.com/en/products/result?keywords=CC0201JRNPO9BN180</x:v>
      </x:c>
    </x:row>
    <x:row r="42">
      <x:c r="A42" s="99" t="n">
        <x:v>11</x:v>
      </x:c>
      <x:c r="B42" s="16" t="str">
        <x:v>C24</x:v>
      </x:c>
      <x:c r="C42" s="16" t="n">
        <x:v>1</x:v>
      </x:c>
      <x:c r="D42" s="16" t="str">
        <x:v>Primary</x:v>
      </x:c>
      <x:c r="E42" s="16" t="str">
        <x:v>Samsung Electro-Mechanics</x:v>
      </x:c>
      <x:c r="F42" s="16" t="str">
        <x:v>CL21A105KAFNNNE</x:v>
      </x:c>
      <x:c r="G42" s="16" t="str"/>
      <x:c r="H42" s="16" t="str">
        <x:v>0805</x:v>
      </x:c>
      <x:c r="I42" s="16" t="str">
        <x:v>1 µF, 25 V, X5R, ±10%</x:v>
      </x:c>
      <x:c r="J42" s="16" t="str">
        <x:v>High / commodity</x:v>
      </x:c>
      <x:c r="K42" s="16" t="str"/>
      <x:c r="L42" s="16" t="str">
        <x:v>Drop-in</x:v>
      </x:c>
      <x:c r="M42" s="16" t="str"/>
      <x:c r="N42" s="113" t="str">
        <x:v>https://www.digikey.com/en/products/result?keywords=CL21A105KAFNNNE</x:v>
      </x:c>
    </x:row>
    <x:row r="43">
      <x:c r="A43" s="99" t="n">
        <x:v>11</x:v>
      </x:c>
      <x:c r="B43" s="16" t="str">
        <x:v>C24</x:v>
      </x:c>
      <x:c r="C43" s="16" t="n">
        <x:v>2</x:v>
      </x:c>
      <x:c r="D43" s="16" t="str">
        <x:v>Alternative 1</x:v>
      </x:c>
      <x:c r="E43" s="16" t="str">
        <x:v>Murata</x:v>
      </x:c>
      <x:c r="F43" s="16" t="str">
        <x:v>GRM21BR71E105KA99L</x:v>
      </x:c>
      <x:c r="G43" s="16" t="str"/>
      <x:c r="H43" s="16" t="str">
        <x:v>0805</x:v>
      </x:c>
      <x:c r="I43" s="16" t="str">
        <x:v>1 µF, 25 V, X7R, ±10%</x:v>
      </x:c>
      <x:c r="J43" s="16" t="str">
        <x:v>High / commodity</x:v>
      </x:c>
      <x:c r="K43" s="16" t="str"/>
      <x:c r="L43" s="16" t="str">
        <x:v>Drop-in</x:v>
      </x:c>
      <x:c r="M43" s="16" t="str"/>
      <x:c r="N43" s="113" t="str">
        <x:v>https://www.digikey.com/en/products/result?keywords=GRM21BR71E105KA99L</x:v>
      </x:c>
    </x:row>
    <x:row r="44">
      <x:c r="A44" s="99" t="n">
        <x:v>11</x:v>
      </x:c>
      <x:c r="B44" s="16" t="str">
        <x:v>C24</x:v>
      </x:c>
      <x:c r="C44" s="16" t="n">
        <x:v>3</x:v>
      </x:c>
      <x:c r="D44" s="16" t="str">
        <x:v>Alternative 2</x:v>
      </x:c>
      <x:c r="E44" s="16" t="str">
        <x:v>TDK</x:v>
      </x:c>
      <x:c r="F44" s="16" t="str">
        <x:v>C2012X7R1E105K125AB</x:v>
      </x:c>
      <x:c r="G44" s="16" t="str"/>
      <x:c r="H44" s="16" t="str">
        <x:v>0805</x:v>
      </x:c>
      <x:c r="I44" s="16" t="str">
        <x:v>1 µF, 25 V, X7R, ±10%</x:v>
      </x:c>
      <x:c r="J44" s="16" t="str">
        <x:v>High / commodity</x:v>
      </x:c>
      <x:c r="K44" s="16" t="str"/>
      <x:c r="L44" s="16" t="str">
        <x:v>Drop-in</x:v>
      </x:c>
      <x:c r="M44" s="16" t="str"/>
      <x:c r="N44" s="113" t="str">
        <x:v>https://www.digikey.com/en/products/result?keywords=C2012X7R1E105K125AB</x:v>
      </x:c>
    </x:row>
    <x:row r="45">
      <x:c r="A45" s="99" t="n">
        <x:v>11</x:v>
      </x:c>
      <x:c r="B45" s="16" t="str">
        <x:v>C24</x:v>
      </x:c>
      <x:c r="C45" s="16" t="n">
        <x:v>4</x:v>
      </x:c>
      <x:c r="D45" s="16" t="str">
        <x:v>Alternative 3</x:v>
      </x:c>
      <x:c r="E45" s="16" t="str">
        <x:v>Taiyo Yuden</x:v>
      </x:c>
      <x:c r="F45" s="16" t="str">
        <x:v>TMK212B7105KG-T</x:v>
      </x:c>
      <x:c r="G45" s="16" t="str"/>
      <x:c r="H45" s="16" t="str">
        <x:v>0805</x:v>
      </x:c>
      <x:c r="I45" s="16" t="str">
        <x:v>1 µF, 25 V, X7R, ±10%</x:v>
      </x:c>
      <x:c r="J45" s="16" t="str">
        <x:v>High / commodity</x:v>
      </x:c>
      <x:c r="K45" s="16" t="str"/>
      <x:c r="L45" s="16" t="str">
        <x:v>Drop-in</x:v>
      </x:c>
      <x:c r="M45" s="16" t="str"/>
      <x:c r="N45" s="113" t="str">
        <x:v>https://www.digikey.com/en/products/result?keywords=TMK212B7105KG-T</x:v>
      </x:c>
    </x:row>
    <x:row r="46">
      <x:c r="A46" s="99" t="n">
        <x:v>12</x:v>
      </x:c>
      <x:c r="B46" s="16" t="str">
        <x:v>C25</x:v>
      </x:c>
      <x:c r="C46" s="16" t="n">
        <x:v>1</x:v>
      </x:c>
      <x:c r="D46" s="16" t="str">
        <x:v>Primary</x:v>
      </x:c>
      <x:c r="E46" s="16" t="str">
        <x:v>Murata</x:v>
      </x:c>
      <x:c r="F46" s="16" t="str">
        <x:v>GRM033R71E104KE14D</x:v>
      </x:c>
      <x:c r="G46" s="16" t="str"/>
      <x:c r="H46" s="16" t="str">
        <x:v>0201</x:v>
      </x:c>
      <x:c r="I46" s="16" t="str">
        <x:v>100 nF, 25 V, X7R, ±10%</x:v>
      </x:c>
      <x:c r="J46" s="16" t="str">
        <x:v>High / commodity</x:v>
      </x:c>
      <x:c r="K46" s="16" t="str"/>
      <x:c r="L46" s="16" t="str">
        <x:v>Drop-in</x:v>
      </x:c>
      <x:c r="M46" s="16" t="str"/>
      <x:c r="N46" s="113" t="str">
        <x:v>https://www.digikey.com/en/products/result?keywords=GRM033R71E104KE14D</x:v>
      </x:c>
    </x:row>
    <x:row r="47">
      <x:c r="A47" s="99" t="n">
        <x:v>12</x:v>
      </x:c>
      <x:c r="B47" s="16" t="str">
        <x:v>C25</x:v>
      </x:c>
      <x:c r="C47" s="16" t="n">
        <x:v>2</x:v>
      </x:c>
      <x:c r="D47" s="16" t="str">
        <x:v>Alternative 1</x:v>
      </x:c>
      <x:c r="E47" s="16" t="str">
        <x:v>TDK</x:v>
      </x:c>
      <x:c r="F47" s="16" t="str">
        <x:v>C0603X7R1E104K030BB</x:v>
      </x:c>
      <x:c r="G47" s="16" t="str"/>
      <x:c r="H47" s="16" t="str">
        <x:v>0201</x:v>
      </x:c>
      <x:c r="I47" s="16" t="str">
        <x:v>100 nF, 25 V, X7R, ±10%</x:v>
      </x:c>
      <x:c r="J47" s="16" t="str">
        <x:v>High / commodity</x:v>
      </x:c>
      <x:c r="K47" s="16" t="str"/>
      <x:c r="L47" s="16" t="str">
        <x:v>Drop-in</x:v>
      </x:c>
      <x:c r="M47" s="16" t="str"/>
      <x:c r="N47" s="113" t="str">
        <x:v>https://www.digikey.com/en/products/result?keywords=C0603X7R1E104K030BB</x:v>
      </x:c>
    </x:row>
    <x:row r="48">
      <x:c r="A48" s="99" t="n">
        <x:v>12</x:v>
      </x:c>
      <x:c r="B48" s="16" t="str">
        <x:v>C25</x:v>
      </x:c>
      <x:c r="C48" s="16" t="n">
        <x:v>3</x:v>
      </x:c>
      <x:c r="D48" s="16" t="str">
        <x:v>Alternative 2</x:v>
      </x:c>
      <x:c r="E48" s="16" t="str">
        <x:v>Samsung Electro-Mechanics</x:v>
      </x:c>
      <x:c r="F48" s="16" t="str">
        <x:v>CL03B104KA3NNNC</x:v>
      </x:c>
      <x:c r="G48" s="16" t="str"/>
      <x:c r="H48" s="16" t="str">
        <x:v>0201</x:v>
      </x:c>
      <x:c r="I48" s="16" t="str">
        <x:v>100 nF, 25 V, X7R, ±10%</x:v>
      </x:c>
      <x:c r="J48" s="16" t="str">
        <x:v>High / commodity</x:v>
      </x:c>
      <x:c r="K48" s="16" t="str"/>
      <x:c r="L48" s="16" t="str">
        <x:v>Drop-in</x:v>
      </x:c>
      <x:c r="M48" s="16" t="str"/>
      <x:c r="N48" s="113" t="str">
        <x:v>https://www.digikey.com/en/products/result?keywords=CL03B104KA3NNNC</x:v>
      </x:c>
    </x:row>
    <x:row r="49">
      <x:c r="A49" s="99" t="n">
        <x:v>12</x:v>
      </x:c>
      <x:c r="B49" s="16" t="str">
        <x:v>C25</x:v>
      </x:c>
      <x:c r="C49" s="16" t="n">
        <x:v>4</x:v>
      </x:c>
      <x:c r="D49" s="16" t="str">
        <x:v>Alternative 3</x:v>
      </x:c>
      <x:c r="E49" s="16" t="str">
        <x:v>Yageo</x:v>
      </x:c>
      <x:c r="F49" s="16" t="str">
        <x:v>CC0201KRX7R8BB104</x:v>
      </x:c>
      <x:c r="G49" s="16" t="str"/>
      <x:c r="H49" s="16" t="str">
        <x:v>0201</x:v>
      </x:c>
      <x:c r="I49" s="16" t="str">
        <x:v>100 nF, 25 V, X7R, ±10%</x:v>
      </x:c>
      <x:c r="J49" s="16" t="str">
        <x:v>High / commodity</x:v>
      </x:c>
      <x:c r="K49" s="16" t="str"/>
      <x:c r="L49" s="16" t="str">
        <x:v>Drop-in</x:v>
      </x:c>
      <x:c r="M49" s="16" t="str"/>
      <x:c r="N49" s="113" t="str">
        <x:v>https://www.digikey.com/en/products/result?keywords=CC0201KRX7R8BB104</x:v>
      </x:c>
    </x:row>
    <x:row r="50">
      <x:c r="A50" s="99" t="n">
        <x:v>13</x:v>
      </x:c>
      <x:c r="B50" s="16" t="str">
        <x:v>C30,C31</x:v>
      </x:c>
      <x:c r="C50" s="16" t="n">
        <x:v>1</x:v>
      </x:c>
      <x:c r="D50" s="16" t="str">
        <x:v>Primary</x:v>
      </x:c>
      <x:c r="E50" s="16" t="str">
        <x:v>Murata</x:v>
      </x:c>
      <x:c r="F50" s="16" t="str">
        <x:v>GRM21BR61A226ME44K</x:v>
      </x:c>
      <x:c r="G50" s="16" t="str"/>
      <x:c r="H50" s="16" t="str">
        <x:v>0805</x:v>
      </x:c>
      <x:c r="I50" s="16" t="str">
        <x:v>22 µF, 10 V, X5R, ±20%</x:v>
      </x:c>
      <x:c r="J50" s="16" t="str">
        <x:v>High</x:v>
      </x:c>
      <x:c r="K50" s="16" t="str"/>
      <x:c r="L50" s="16" t="str">
        <x:v>Drop-in</x:v>
      </x:c>
      <x:c r="M50" s="16" t="str">
        <x:v>Verify effective capacitance at the actual rail voltage.</x:v>
      </x:c>
      <x:c r="N50" s="113" t="str">
        <x:v>https://www.digikey.com/en/products/detail/murata-electronics/GRM21BR61A226ME44K/26223516</x:v>
      </x:c>
    </x:row>
    <x:row r="51">
      <x:c r="A51" s="99" t="n">
        <x:v>13</x:v>
      </x:c>
      <x:c r="B51" s="16" t="str">
        <x:v>C30,C31</x:v>
      </x:c>
      <x:c r="C51" s="16" t="n">
        <x:v>2</x:v>
      </x:c>
      <x:c r="D51" s="16" t="str">
        <x:v>Alternative 1</x:v>
      </x:c>
      <x:c r="E51" s="16" t="str">
        <x:v>TDK</x:v>
      </x:c>
      <x:c r="F51" s="16" t="str">
        <x:v>C2012X5R1A226M125AC</x:v>
      </x:c>
      <x:c r="G51" s="16" t="str"/>
      <x:c r="H51" s="16" t="str">
        <x:v>0805</x:v>
      </x:c>
      <x:c r="I51" s="16" t="str">
        <x:v>22 µF, 10 V, X5R, ±20%</x:v>
      </x:c>
      <x:c r="J51" s="16" t="str">
        <x:v>High / commodity</x:v>
      </x:c>
      <x:c r="K51" s="16" t="str"/>
      <x:c r="L51" s="16" t="str">
        <x:v>Drop-in</x:v>
      </x:c>
      <x:c r="M51" s="16" t="str"/>
      <x:c r="N51" s="113" t="str">
        <x:v>https://www.digikey.com/en/products/result?keywords=C2012X5R1A226M125AC</x:v>
      </x:c>
    </x:row>
    <x:row r="52">
      <x:c r="A52" s="99" t="n">
        <x:v>13</x:v>
      </x:c>
      <x:c r="B52" s="16" t="str">
        <x:v>C30,C31</x:v>
      </x:c>
      <x:c r="C52" s="16" t="n">
        <x:v>3</x:v>
      </x:c>
      <x:c r="D52" s="16" t="str">
        <x:v>Alternative 2</x:v>
      </x:c>
      <x:c r="E52" s="16" t="str">
        <x:v>Taiyo Yuden</x:v>
      </x:c>
      <x:c r="F52" s="16" t="str">
        <x:v>LMK212BBJ226MG-T</x:v>
      </x:c>
      <x:c r="G52" s="16" t="str"/>
      <x:c r="H52" s="16" t="str">
        <x:v>0805</x:v>
      </x:c>
      <x:c r="I52" s="16" t="str">
        <x:v>22 µF, 10 V, X5R, ±20%</x:v>
      </x:c>
      <x:c r="J52" s="16" t="str">
        <x:v>High / commodity</x:v>
      </x:c>
      <x:c r="K52" s="16" t="str"/>
      <x:c r="L52" s="16" t="str">
        <x:v>Drop-in</x:v>
      </x:c>
      <x:c r="M52" s="16" t="str"/>
      <x:c r="N52" s="113" t="str">
        <x:v>https://www.digikey.com/en/products/result?keywords=LMK212BBJ226MG-T</x:v>
      </x:c>
    </x:row>
    <x:row r="53">
      <x:c r="A53" s="99" t="n">
        <x:v>13</x:v>
      </x:c>
      <x:c r="B53" s="16" t="str">
        <x:v>C30,C31</x:v>
      </x:c>
      <x:c r="C53" s="16" t="n">
        <x:v>4</x:v>
      </x:c>
      <x:c r="D53" s="16" t="str">
        <x:v>Alternative 3</x:v>
      </x:c>
      <x:c r="E53" s="16" t="str">
        <x:v>Kyocera AVX</x:v>
      </x:c>
      <x:c r="F53" s="16" t="str">
        <x:v>0805ZD226MAT2A</x:v>
      </x:c>
      <x:c r="G53" s="16" t="str"/>
      <x:c r="H53" s="16" t="str">
        <x:v>0805</x:v>
      </x:c>
      <x:c r="I53" s="16" t="str">
        <x:v>22 µF, 10 V, X5R, ±20%</x:v>
      </x:c>
      <x:c r="J53" s="16" t="str">
        <x:v>High / commodity</x:v>
      </x:c>
      <x:c r="K53" s="16" t="str"/>
      <x:c r="L53" s="16" t="str">
        <x:v>Drop-in</x:v>
      </x:c>
      <x:c r="M53" s="16" t="str"/>
      <x:c r="N53" s="113" t="str">
        <x:v>https://www.digikey.com/en/products/result?keywords=0805ZD226MAT2A</x:v>
      </x:c>
    </x:row>
    <x:row r="54">
      <x:c r="A54" s="99" t="n">
        <x:v>14</x:v>
      </x:c>
      <x:c r="B54" s="16" t="str">
        <x:v>C32,C33,C34,C35,C36,C37</x:v>
      </x:c>
      <x:c r="C54" s="16" t="n">
        <x:v>1</x:v>
      </x:c>
      <x:c r="D54" s="16" t="str">
        <x:v>Primary</x:v>
      </x:c>
      <x:c r="E54" s="16" t="str">
        <x:v>Murata</x:v>
      </x:c>
      <x:c r="F54" s="16" t="str">
        <x:v>GRM155R61A105KE15D</x:v>
      </x:c>
      <x:c r="G54" s="16" t="str"/>
      <x:c r="H54" s="16" t="str">
        <x:v>0402</x:v>
      </x:c>
      <x:c r="I54" s="16" t="str">
        <x:v>1 µF, 10 V, X5R, ±10%</x:v>
      </x:c>
      <x:c r="J54" s="16" t="str">
        <x:v>High / commodity</x:v>
      </x:c>
      <x:c r="K54" s="16" t="str"/>
      <x:c r="L54" s="16" t="str">
        <x:v>Drop-in</x:v>
      </x:c>
      <x:c r="M54" s="16" t="str"/>
      <x:c r="N54" s="113" t="str">
        <x:v>https://www.digikey.com/en/products/result?keywords=GRM155R61A105KE15D</x:v>
      </x:c>
    </x:row>
    <x:row r="55">
      <x:c r="A55" s="99" t="n">
        <x:v>14</x:v>
      </x:c>
      <x:c r="B55" s="16" t="str">
        <x:v>C32,C33,C34,C35,C36,C37</x:v>
      </x:c>
      <x:c r="C55" s="16" t="n">
        <x:v>2</x:v>
      </x:c>
      <x:c r="D55" s="16" t="str">
        <x:v>Alternative 1</x:v>
      </x:c>
      <x:c r="E55" s="16" t="str">
        <x:v>Samsung Electro-Mechanics</x:v>
      </x:c>
      <x:c r="F55" s="16" t="str">
        <x:v>CL21A105KAFNNNE</x:v>
      </x:c>
      <x:c r="G55" s="16" t="str"/>
      <x:c r="H55" s="16" t="str">
        <x:v>0805</x:v>
      </x:c>
      <x:c r="I55" s="16" t="str">
        <x:v>1 µF, 25 V, X5R, ±10%</x:v>
      </x:c>
      <x:c r="J55" s="16" t="str">
        <x:v>High / commodity</x:v>
      </x:c>
      <x:c r="K55" s="16" t="str"/>
      <x:c r="L55" s="16" t="str">
        <x:v>Drop-in</x:v>
      </x:c>
      <x:c r="M55" s="16" t="str"/>
      <x:c r="N55" s="113" t="str">
        <x:v>https://www.digikey.com/en/products/result?keywords=CL21A105KAFNNNE</x:v>
      </x:c>
    </x:row>
    <x:row r="56">
      <x:c r="A56" s="99" t="n">
        <x:v>14</x:v>
      </x:c>
      <x:c r="B56" s="16" t="str">
        <x:v>C32,C33,C34,C35,C36,C37</x:v>
      </x:c>
      <x:c r="C56" s="16" t="n">
        <x:v>3</x:v>
      </x:c>
      <x:c r="D56" s="16" t="str">
        <x:v>Alternative 2</x:v>
      </x:c>
      <x:c r="E56" s="16" t="str">
        <x:v>TDK</x:v>
      </x:c>
      <x:c r="F56" s="16" t="str">
        <x:v>C1005X5R1A105K050BC</x:v>
      </x:c>
      <x:c r="G56" s="16" t="str"/>
      <x:c r="H56" s="16" t="str">
        <x:v>0402</x:v>
      </x:c>
      <x:c r="I56" s="16" t="str">
        <x:v>1 µF, 10 V, X5R, ±10%</x:v>
      </x:c>
      <x:c r="J56" s="16" t="str">
        <x:v>High / commodity</x:v>
      </x:c>
      <x:c r="K56" s="16" t="str"/>
      <x:c r="L56" s="16" t="str">
        <x:v>Drop-in</x:v>
      </x:c>
      <x:c r="M56" s="16" t="str"/>
      <x:c r="N56" s="113" t="str">
        <x:v>https://www.digikey.com/en/products/result?keywords=C1005X5R1A105K050BC</x:v>
      </x:c>
    </x:row>
    <x:row r="57">
      <x:c r="A57" s="99" t="n">
        <x:v>14</x:v>
      </x:c>
      <x:c r="B57" s="16" t="str">
        <x:v>C32,C33,C34,C35,C36,C37</x:v>
      </x:c>
      <x:c r="C57" s="16" t="n">
        <x:v>4</x:v>
      </x:c>
      <x:c r="D57" s="16" t="str">
        <x:v>Alternative 3</x:v>
      </x:c>
      <x:c r="E57" s="16" t="str">
        <x:v>Murata</x:v>
      </x:c>
      <x:c r="F57" s="16" t="str">
        <x:v>GRM21BR71E105KA99L</x:v>
      </x:c>
      <x:c r="G57" s="16" t="str"/>
      <x:c r="H57" s="16" t="str">
        <x:v>0805</x:v>
      </x:c>
      <x:c r="I57" s="16" t="str">
        <x:v>1 µF, 25 V, X7R, ±10%</x:v>
      </x:c>
      <x:c r="J57" s="16" t="str">
        <x:v>High / commodity</x:v>
      </x:c>
      <x:c r="K57" s="16" t="str"/>
      <x:c r="L57" s="16" t="str">
        <x:v>Drop-in</x:v>
      </x:c>
      <x:c r="M57" s="16" t="str"/>
      <x:c r="N57" s="113" t="str">
        <x:v>https://www.digikey.com/en/products/result?keywords=GRM21BR71E105KA99L</x:v>
      </x:c>
    </x:row>
    <x:row r="58">
      <x:c r="A58" s="99" t="n">
        <x:v>15</x:v>
      </x:c>
      <x:c r="B58" s="16" t="str">
        <x:v>D1,D2,D3,D4,D5</x:v>
      </x:c>
      <x:c r="C58" s="16" t="n">
        <x:v>1</x:v>
      </x:c>
      <x:c r="D58" s="16" t="str">
        <x:v>Primary</x:v>
      </x:c>
      <x:c r="E58" s="16" t="str">
        <x:v>Lite-On</x:v>
      </x:c>
      <x:c r="F58" s="16" t="str">
        <x:v>LTST-FC03AD-5A</x:v>
      </x:c>
      <x:c r="G58" s="16" t="str">
        <x:v>C20617265</x:v>
      </x:c>
      <x:c r="H58" s="16" t="str">
        <x:v>LED 0201</x:v>
      </x:c>
      <x:c r="I58" s="16" t="str">
        <x:v>Amber/yellow indicator LED; verify Vf and polarity</x:v>
      </x:c>
      <x:c r="J58" s="16" t="str">
        <x:v>JLC listing; check order-time stock</x:v>
      </x:c>
      <x:c r="K58" s="16" t="str"/>
      <x:c r="L58" s="16" t="str">
        <x:v>Drop-in</x:v>
      </x:c>
      <x:c r="M58" s="16" t="str"/>
      <x:c r="N58" s="113" t="str">
        <x:v>https://jlcpcb.com/partdetail/LiteOn-LTST_FC03AD5A/C20617265</x:v>
      </x:c>
    </x:row>
    <x:row r="59">
      <x:c r="A59" s="99" t="n">
        <x:v>15</x:v>
      </x:c>
      <x:c r="B59" s="16" t="str">
        <x:v>D1,D2,D3,D4,D5</x:v>
      </x:c>
      <x:c r="C59" s="16" t="n">
        <x:v>2</x:v>
      </x:c>
      <x:c r="D59" s="16" t="str">
        <x:v>Alternative 1</x:v>
      </x:c>
      <x:c r="E59" s="16" t="str">
        <x:v>Lite-On</x:v>
      </x:c>
      <x:c r="F59" s="16" t="str">
        <x:v>LTST-FC03ED-5A</x:v>
      </x:c>
      <x:c r="G59" s="16" t="str">
        <x:v>C20617267</x:v>
      </x:c>
      <x:c r="H59" s="16" t="str">
        <x:v>LED 0201</x:v>
      </x:c>
      <x:c r="I59" s="16" t="str">
        <x:v>Red indicator LED; verify desired color</x:v>
      </x:c>
      <x:c r="J59" s="16" t="str">
        <x:v>JLC listing; check order-time stock</x:v>
      </x:c>
      <x:c r="K59" s="16" t="str"/>
      <x:c r="L59" s="16" t="str">
        <x:v>Drop-in</x:v>
      </x:c>
      <x:c r="M59" s="16" t="str"/>
      <x:c r="N59" s="113" t="str">
        <x:v>https://jlcpcb.com/partdetail/LiteOn-LTST_FC03ED5A/C20617267</x:v>
      </x:c>
    </x:row>
    <x:row r="60">
      <x:c r="A60" s="99" t="n">
        <x:v>15</x:v>
      </x:c>
      <x:c r="B60" s="16" t="str">
        <x:v>D1,D2,D3,D4,D5</x:v>
      </x:c>
      <x:c r="C60" s="16" t="n">
        <x:v>3</x:v>
      </x:c>
      <x:c r="D60" s="16" t="str">
        <x:v>Alternative 2</x:v>
      </x:c>
      <x:c r="E60" s="16" t="str">
        <x:v>Lite-On</x:v>
      </x:c>
      <x:c r="F60" s="16" t="str">
        <x:v>LTST-FC03BD-5A</x:v>
      </x:c>
      <x:c r="G60" s="16" t="str">
        <x:v>C20617266</x:v>
      </x:c>
      <x:c r="H60" s="16" t="str">
        <x:v>LED 0201</x:v>
      </x:c>
      <x:c r="I60" s="16" t="str">
        <x:v>Blue indicator LED; verify desired color</x:v>
      </x:c>
      <x:c r="J60" s="16" t="str">
        <x:v>JLC listing; check order-time stock</x:v>
      </x:c>
      <x:c r="K60" s="16" t="str"/>
      <x:c r="L60" s="16" t="str">
        <x:v>Drop-in</x:v>
      </x:c>
      <x:c r="M60" s="16" t="str"/>
      <x:c r="N60" s="113" t="str">
        <x:v>https://jlcpcb.com/partdetail/LiteOn-LTST_FC03BD5A/C20617266</x:v>
      </x:c>
    </x:row>
    <x:row r="61">
      <x:c r="A61" s="99" t="n">
        <x:v>15</x:v>
      </x:c>
      <x:c r="B61" s="16" t="str">
        <x:v>D1,D2,D3,D4,D5</x:v>
      </x:c>
      <x:c r="C61" s="16" t="n">
        <x:v>4</x:v>
      </x:c>
      <x:c r="D61" s="16" t="str">
        <x:v>Alternative 3</x:v>
      </x:c>
      <x:c r="E61" s="16" t="str">
        <x:v>Everlight</x:v>
      </x:c>
      <x:c r="F61" s="16" t="str">
        <x:v>CSP0603AN101-IBP20200453001-3T</x:v>
      </x:c>
      <x:c r="G61" s="16" t="str"/>
      <x:c r="H61" s="16" t="str">
        <x:v>LED 0201</x:v>
      </x:c>
      <x:c r="I61" s="16" t="str">
        <x:v>Indicator LED; verify color/bin and polarity</x:v>
      </x:c>
      <x:c r="J61" s="16" t="str">
        <x:v>JLC searchable; check order-time stock</x:v>
      </x:c>
      <x:c r="K61" s="16" t="str"/>
      <x:c r="L61" s="16" t="str">
        <x:v>Drop-in</x:v>
      </x:c>
      <x:c r="M61" s="16" t="str"/>
      <x:c r="N61" s="113" t="str">
        <x:v>https://jlcpcb.com/parts/componentSearch?searchTxt=CSP0603AN101-IBP20200453001-3T</x:v>
      </x:c>
    </x:row>
    <x:row r="62">
      <x:c r="A62" s="99" t="n">
        <x:v>16</x:v>
      </x:c>
      <x:c r="B62" s="16" t="str">
        <x:v>D6</x:v>
      </x:c>
      <x:c r="C62" s="16" t="n">
        <x:v>1</x:v>
      </x:c>
      <x:c r="D62" s="16" t="str">
        <x:v>Primary</x:v>
      </x:c>
      <x:c r="E62" s="16" t="str">
        <x:v>Lite-On</x:v>
      </x:c>
      <x:c r="F62" s="16" t="str">
        <x:v>LTST-FC03ED-5A</x:v>
      </x:c>
      <x:c r="G62" s="16" t="str">
        <x:v>C20617267</x:v>
      </x:c>
      <x:c r="H62" s="16" t="str">
        <x:v>LED 0201</x:v>
      </x:c>
      <x:c r="I62" s="16" t="str">
        <x:v>Red indicator LED; verify desired color</x:v>
      </x:c>
      <x:c r="J62" s="16" t="str">
        <x:v>JLC listing; check order-time stock</x:v>
      </x:c>
      <x:c r="K62" s="16" t="str"/>
      <x:c r="L62" s="16" t="str">
        <x:v>Drop-in</x:v>
      </x:c>
      <x:c r="M62" s="16" t="str"/>
      <x:c r="N62" s="113" t="str">
        <x:v>https://jlcpcb.com/partdetail/LiteOn-LTST_FC03ED5A/C20617267</x:v>
      </x:c>
    </x:row>
    <x:row r="63">
      <x:c r="A63" s="99" t="n">
        <x:v>16</x:v>
      </x:c>
      <x:c r="B63" s="16" t="str">
        <x:v>D6</x:v>
      </x:c>
      <x:c r="C63" s="16" t="n">
        <x:v>2</x:v>
      </x:c>
      <x:c r="D63" s="16" t="str">
        <x:v>Alternative 1</x:v>
      </x:c>
      <x:c r="E63" s="16" t="str">
        <x:v>Lite-On</x:v>
      </x:c>
      <x:c r="F63" s="16" t="str">
        <x:v>LTST-FC03AD-5A</x:v>
      </x:c>
      <x:c r="G63" s="16" t="str">
        <x:v>C20617265</x:v>
      </x:c>
      <x:c r="H63" s="16" t="str">
        <x:v>LED 0201</x:v>
      </x:c>
      <x:c r="I63" s="16" t="str">
        <x:v>Amber/yellow indicator LED; verify Vf and polarity</x:v>
      </x:c>
      <x:c r="J63" s="16" t="str">
        <x:v>JLC listing; check order-time stock</x:v>
      </x:c>
      <x:c r="K63" s="16" t="str"/>
      <x:c r="L63" s="16" t="str">
        <x:v>Drop-in</x:v>
      </x:c>
      <x:c r="M63" s="16" t="str"/>
      <x:c r="N63" s="113" t="str">
        <x:v>https://jlcpcb.com/partdetail/LiteOn-LTST_FC03AD5A/C20617265</x:v>
      </x:c>
    </x:row>
    <x:row r="64">
      <x:c r="A64" s="99" t="n">
        <x:v>16</x:v>
      </x:c>
      <x:c r="B64" s="16" t="str">
        <x:v>D6</x:v>
      </x:c>
      <x:c r="C64" s="16" t="n">
        <x:v>3</x:v>
      </x:c>
      <x:c r="D64" s="16" t="str">
        <x:v>Alternative 2</x:v>
      </x:c>
      <x:c r="E64" s="16" t="str">
        <x:v>Lite-On</x:v>
      </x:c>
      <x:c r="F64" s="16" t="str">
        <x:v>LTST-FC03BD-5A</x:v>
      </x:c>
      <x:c r="G64" s="16" t="str">
        <x:v>C20617266</x:v>
      </x:c>
      <x:c r="H64" s="16" t="str">
        <x:v>LED 0201</x:v>
      </x:c>
      <x:c r="I64" s="16" t="str">
        <x:v>Blue indicator LED; verify desired color</x:v>
      </x:c>
      <x:c r="J64" s="16" t="str">
        <x:v>JLC listing; check order-time stock</x:v>
      </x:c>
      <x:c r="K64" s="16" t="str"/>
      <x:c r="L64" s="16" t="str">
        <x:v>Drop-in</x:v>
      </x:c>
      <x:c r="M64" s="16" t="str"/>
      <x:c r="N64" s="113" t="str">
        <x:v>https://jlcpcb.com/partdetail/LiteOn-LTST_FC03BD5A/C20617266</x:v>
      </x:c>
    </x:row>
    <x:row r="65">
      <x:c r="A65" s="99" t="n">
        <x:v>16</x:v>
      </x:c>
      <x:c r="B65" s="16" t="str">
        <x:v>D6</x:v>
      </x:c>
      <x:c r="C65" s="16" t="n">
        <x:v>4</x:v>
      </x:c>
      <x:c r="D65" s="16" t="str">
        <x:v>Alternative 3</x:v>
      </x:c>
      <x:c r="E65" s="16" t="str">
        <x:v>Everlight</x:v>
      </x:c>
      <x:c r="F65" s="16" t="str">
        <x:v>CSP0603AN101-IBP20200453001-3T</x:v>
      </x:c>
      <x:c r="G65" s="16" t="str"/>
      <x:c r="H65" s="16" t="str">
        <x:v>LED 0201</x:v>
      </x:c>
      <x:c r="I65" s="16" t="str">
        <x:v>Indicator LED; verify color/bin and polarity</x:v>
      </x:c>
      <x:c r="J65" s="16" t="str">
        <x:v>JLC searchable; check order-time stock</x:v>
      </x:c>
      <x:c r="K65" s="16" t="str"/>
      <x:c r="L65" s="16" t="str">
        <x:v>Drop-in</x:v>
      </x:c>
      <x:c r="M65" s="16" t="str"/>
      <x:c r="N65" s="113" t="str">
        <x:v>https://jlcpcb.com/parts/componentSearch?searchTxt=CSP0603AN101-IBP20200453001-3T</x:v>
      </x:c>
    </x:row>
    <x:row r="66">
      <x:c r="A66" s="99" t="n">
        <x:v>17</x:v>
      </x:c>
      <x:c r="B66" s="16" t="str">
        <x:v>F1,F2,F5</x:v>
      </x:c>
      <x:c r="C66" s="16" t="n">
        <x:v>1</x:v>
      </x:c>
      <x:c r="D66" s="16" t="str">
        <x:v>Primary</x:v>
      </x:c>
      <x:c r="E66" s="16" t="str">
        <x:v>Bel Fuse</x:v>
      </x:c>
      <x:c r="F66" s="16" t="str">
        <x:v>0685T5000-01</x:v>
      </x:c>
      <x:c r="G66" s="16" t="str"/>
      <x:c r="H66" s="16" t="str">
        <x:v>1206</x:v>
      </x:c>
      <x:c r="I66" s="16" t="str">
        <x:v>5 A, 63 V AC/DC, time-delay fuse</x:v>
      </x:c>
      <x:c r="J66" s="16" t="str">
        <x:v>Very high distributor stock; JLC order-time check</x:v>
      </x:c>
      <x:c r="K66" s="16" t="str">
        <x:v>~$0.45-$0.80</x:v>
      </x:c>
      <x:c r="L66" s="16" t="str">
        <x:v>Layout change: current BOM footprint is 0805</x:v>
      </x:c>
      <x:c r="M66" s="16" t="str"/>
      <x:c r="N66" s="113" t="str">
        <x:v>https://www.digikey.com/en/products/detail/bel-fuse-inc/0685T5000-01/4967966</x:v>
      </x:c>
    </x:row>
    <x:row r="67">
      <x:c r="A67" s="99" t="n">
        <x:v>17</x:v>
      </x:c>
      <x:c r="B67" s="16" t="str">
        <x:v>F1,F2,F5</x:v>
      </x:c>
      <x:c r="C67" s="16" t="n">
        <x:v>2</x:v>
      </x:c>
      <x:c r="D67" s="16" t="str">
        <x:v>Alternative 1</x:v>
      </x:c>
      <x:c r="E67" s="16" t="str">
        <x:v>Bourns</x:v>
      </x:c>
      <x:c r="F67" s="16" t="str">
        <x:v>SF-1206S500-2</x:v>
      </x:c>
      <x:c r="G67" s="16" t="str"/>
      <x:c r="H67" s="16" t="str">
        <x:v>1206</x:v>
      </x:c>
      <x:c r="I67" s="16" t="str">
        <x:v>5 A slow-blow chip fuse; verify voltage/time-current</x:v>
      </x:c>
      <x:c r="J67" s="16" t="str">
        <x:v>High</x:v>
      </x:c>
      <x:c r="K67" s="16" t="str"/>
      <x:c r="L67" s="16" t="str">
        <x:v>Layout change: 1206</x:v>
      </x:c>
      <x:c r="M67" s="16" t="str"/>
      <x:c r="N67" s="113" t="str">
        <x:v>https://www.digikey.com/en/products/result?keywords=SF-1206S500-2</x:v>
      </x:c>
    </x:row>
    <x:row r="68">
      <x:c r="A68" s="99" t="n">
        <x:v>17</x:v>
      </x:c>
      <x:c r="B68" s="16" t="str">
        <x:v>F1,F2,F5</x:v>
      </x:c>
      <x:c r="C68" s="16" t="n">
        <x:v>3</x:v>
      </x:c>
      <x:c r="D68" s="16" t="str">
        <x:v>Alternative 2</x:v>
      </x:c>
      <x:c r="E68" s="16" t="str">
        <x:v>Eaton</x:v>
      </x:c>
      <x:c r="F68" s="16" t="str">
        <x:v>CC12H5A-TR</x:v>
      </x:c>
      <x:c r="G68" s="16" t="str"/>
      <x:c r="H68" s="16" t="str">
        <x:v>1206</x:v>
      </x:c>
      <x:c r="I68" s="16" t="str">
        <x:v>5 A chip fuse; verify time-delay curve</x:v>
      </x:c>
      <x:c r="J68" s="16" t="str">
        <x:v>High</x:v>
      </x:c>
      <x:c r="K68" s="16" t="str"/>
      <x:c r="L68" s="16" t="str">
        <x:v>Layout change: 1206</x:v>
      </x:c>
      <x:c r="M68" s="16" t="str"/>
      <x:c r="N68" s="113" t="str">
        <x:v>https://www.digikey.com/en/products/result?keywords=CC12H5A-TR</x:v>
      </x:c>
    </x:row>
    <x:row r="69">
      <x:c r="A69" s="99" t="n">
        <x:v>17</x:v>
      </x:c>
      <x:c r="B69" s="16" t="str">
        <x:v>F1,F2,F5</x:v>
      </x:c>
      <x:c r="C69" s="16" t="n">
        <x:v>4</x:v>
      </x:c>
      <x:c r="D69" s="16" t="str">
        <x:v>Alternative 3</x:v>
      </x:c>
      <x:c r="E69" s="16" t="str">
        <x:v>Littelfuse</x:v>
      </x:c>
      <x:c r="F69" s="16" t="str">
        <x:v>0467005.NRHF</x:v>
      </x:c>
      <x:c r="G69" s="16" t="str"/>
      <x:c r="H69" s="16" t="str">
        <x:v>1206</x:v>
      </x:c>
      <x:c r="I69" s="16" t="str">
        <x:v>5 A chip fuse; verify speed and DC interrupt rating</x:v>
      </x:c>
      <x:c r="J69" s="16" t="str">
        <x:v>High</x:v>
      </x:c>
      <x:c r="K69" s="16" t="str"/>
      <x:c r="L69" s="16" t="str">
        <x:v>Layout change: 1206</x:v>
      </x:c>
      <x:c r="M69" s="16" t="str"/>
      <x:c r="N69" s="113" t="str">
        <x:v>https://www.digikey.com/en/products/result?keywords=0467005.NRHF</x:v>
      </x:c>
    </x:row>
    <x:row r="70">
      <x:c r="A70" s="99" t="n">
        <x:v>18</x:v>
      </x:c>
      <x:c r="B70" s="16" t="str">
        <x:v>F3,F4</x:v>
      </x:c>
      <x:c r="C70" s="16" t="n">
        <x:v>1</x:v>
      </x:c>
      <x:c r="D70" s="16" t="str">
        <x:v>Primary</x:v>
      </x:c>
      <x:c r="E70" s="16" t="str">
        <x:v>Bel Fuse</x:v>
      </x:c>
      <x:c r="F70" s="16" t="str">
        <x:v>0685T5000-01</x:v>
      </x:c>
      <x:c r="G70" s="16" t="str"/>
      <x:c r="H70" s="16" t="str">
        <x:v>1206</x:v>
      </x:c>
      <x:c r="I70" s="16" t="str">
        <x:v>5 A, 63 V AC/DC, time-delay fuse</x:v>
      </x:c>
      <x:c r="J70" s="16" t="str">
        <x:v>Very high distributor stock; JLC order-time check</x:v>
      </x:c>
      <x:c r="K70" s="16" t="str">
        <x:v>~$0.45-$0.80</x:v>
      </x:c>
      <x:c r="L70" s="16" t="str">
        <x:v>Layout change: current BOM footprint is 0805</x:v>
      </x:c>
      <x:c r="M70" s="16" t="str"/>
      <x:c r="N70" s="113" t="str">
        <x:v>https://www.digikey.com/en/products/detail/bel-fuse-inc/0685T5000-01/4967966</x:v>
      </x:c>
    </x:row>
    <x:row r="71">
      <x:c r="A71" s="99" t="n">
        <x:v>18</x:v>
      </x:c>
      <x:c r="B71" s="16" t="str">
        <x:v>F3,F4</x:v>
      </x:c>
      <x:c r="C71" s="16" t="n">
        <x:v>2</x:v>
      </x:c>
      <x:c r="D71" s="16" t="str">
        <x:v>Alternative 1</x:v>
      </x:c>
      <x:c r="E71" s="16" t="str">
        <x:v>Bourns</x:v>
      </x:c>
      <x:c r="F71" s="16" t="str">
        <x:v>SF-1206S500-2</x:v>
      </x:c>
      <x:c r="G71" s="16" t="str"/>
      <x:c r="H71" s="16" t="str">
        <x:v>1206</x:v>
      </x:c>
      <x:c r="I71" s="16" t="str">
        <x:v>5 A slow-blow chip fuse; verify voltage/time-current</x:v>
      </x:c>
      <x:c r="J71" s="16" t="str">
        <x:v>High</x:v>
      </x:c>
      <x:c r="K71" s="16" t="str"/>
      <x:c r="L71" s="16" t="str">
        <x:v>Layout change: 1206</x:v>
      </x:c>
      <x:c r="M71" s="16" t="str"/>
      <x:c r="N71" s="113" t="str">
        <x:v>https://www.digikey.com/en/products/result?keywords=SF-1206S500-2</x:v>
      </x:c>
    </x:row>
    <x:row r="72">
      <x:c r="A72" s="99" t="n">
        <x:v>18</x:v>
      </x:c>
      <x:c r="B72" s="16" t="str">
        <x:v>F3,F4</x:v>
      </x:c>
      <x:c r="C72" s="16" t="n">
        <x:v>3</x:v>
      </x:c>
      <x:c r="D72" s="16" t="str">
        <x:v>Alternative 2</x:v>
      </x:c>
      <x:c r="E72" s="16" t="str">
        <x:v>Eaton</x:v>
      </x:c>
      <x:c r="F72" s="16" t="str">
        <x:v>CC12H5A-TR</x:v>
      </x:c>
      <x:c r="G72" s="16" t="str"/>
      <x:c r="H72" s="16" t="str">
        <x:v>1206</x:v>
      </x:c>
      <x:c r="I72" s="16" t="str">
        <x:v>5 A chip fuse; verify time-delay curve</x:v>
      </x:c>
      <x:c r="J72" s="16" t="str">
        <x:v>High</x:v>
      </x:c>
      <x:c r="K72" s="16" t="str"/>
      <x:c r="L72" s="16" t="str">
        <x:v>Layout change: 1206</x:v>
      </x:c>
      <x:c r="M72" s="16" t="str"/>
      <x:c r="N72" s="113" t="str">
        <x:v>https://www.digikey.com/en/products/result?keywords=CC12H5A-TR</x:v>
      </x:c>
    </x:row>
    <x:row r="73">
      <x:c r="A73" s="99" t="n">
        <x:v>18</x:v>
      </x:c>
      <x:c r="B73" s="16" t="str">
        <x:v>F3,F4</x:v>
      </x:c>
      <x:c r="C73" s="16" t="n">
        <x:v>4</x:v>
      </x:c>
      <x:c r="D73" s="16" t="str">
        <x:v>Alternative 3</x:v>
      </x:c>
      <x:c r="E73" s="16" t="str">
        <x:v>Littelfuse</x:v>
      </x:c>
      <x:c r="F73" s="16" t="str">
        <x:v>0467005.NRHF</x:v>
      </x:c>
      <x:c r="G73" s="16" t="str"/>
      <x:c r="H73" s="16" t="str">
        <x:v>1206</x:v>
      </x:c>
      <x:c r="I73" s="16" t="str">
        <x:v>5 A chip fuse; verify speed and DC interrupt rating</x:v>
      </x:c>
      <x:c r="J73" s="16" t="str">
        <x:v>High</x:v>
      </x:c>
      <x:c r="K73" s="16" t="str"/>
      <x:c r="L73" s="16" t="str">
        <x:v>Layout change: 1206</x:v>
      </x:c>
      <x:c r="M73" s="16" t="str"/>
      <x:c r="N73" s="113" t="str">
        <x:v>https://www.digikey.com/en/products/result?keywords=0467005.NRHF</x:v>
      </x:c>
    </x:row>
    <x:row r="74">
      <x:c r="A74" s="99" t="n">
        <x:v>19</x:v>
      </x:c>
      <x:c r="B74" s="16" t="str">
        <x:v>J1</x:v>
      </x:c>
      <x:c r="C74" s="16" t="n">
        <x:v>1</x:v>
      </x:c>
      <x:c r="D74" s="16" t="str">
        <x:v>Primary</x:v>
      </x:c>
      <x:c r="E74" s="16" t="str">
        <x:v>Same Sky / CUI Devices</x:v>
      </x:c>
      <x:c r="F74" s="16" t="str">
        <x:v>PJ-102AH</x:v>
      </x:c>
      <x:c r="G74" s="16" t="str">
        <x:v>C9900001188</x:v>
      </x:c>
      <x:c r="H74" s="16" t="str">
        <x:v>THT horizontal barrel jack</x:v>
      </x:c>
      <x:c r="I74" s="16" t="str">
        <x:v>2.0 mm center pin, switched contact; verify adapter plug/current</x:v>
      </x:c>
      <x:c r="J74" s="16" t="str">
        <x:v>Available at distributors; JLC extended/preorder</x:v>
      </x:c>
      <x:c r="K74" s="16" t="str"/>
      <x:c r="L74" s="16" t="str">
        <x:v>Drop-in</x:v>
      </x:c>
      <x:c r="M74" s="16" t="str"/>
      <x:c r="N74" s="113" t="str">
        <x:v>https://jlcpcb.com/partdetail/CUIDevices-PJ102AH/C9900001188</x:v>
      </x:c>
    </x:row>
    <x:row r="75">
      <x:c r="A75" s="99" t="n">
        <x:v>19</x:v>
      </x:c>
      <x:c r="B75" s="16" t="str">
        <x:v>J1</x:v>
      </x:c>
      <x:c r="C75" s="16" t="n">
        <x:v>2</x:v>
      </x:c>
      <x:c r="D75" s="16" t="str">
        <x:v>Alternative 1</x:v>
      </x:c>
      <x:c r="E75" s="16" t="str">
        <x:v>GCT</x:v>
      </x:c>
      <x:c r="F75" s="16" t="str">
        <x:v>DCJ200-10-A-K1-K</x:v>
      </x:c>
      <x:c r="G75" s="16" t="str"/>
      <x:c r="H75" s="16" t="str">
        <x:v>THT horizontal barrel jack</x:v>
      </x:c>
      <x:c r="I75" s="16" t="str">
        <x:v>2.0 mm center pin; verify pinout/current</x:v>
      </x:c>
      <x:c r="J75" s="16" t="str">
        <x:v>High</x:v>
      </x:c>
      <x:c r="K75" s="16" t="str"/>
      <x:c r="L75" s="16" t="str">
        <x:v>Mechanical/pinout verification</x:v>
      </x:c>
      <x:c r="M75" s="16" t="str"/>
      <x:c r="N75" s="113" t="str">
        <x:v>https://www.digikey.com/en/products/result?keywords=DCJ200-10-A-K1-K</x:v>
      </x:c>
    </x:row>
    <x:row r="76">
      <x:c r="A76" s="99" t="n">
        <x:v>19</x:v>
      </x:c>
      <x:c r="B76" s="16" t="str">
        <x:v>J1</x:v>
      </x:c>
      <x:c r="C76" s="16" t="n">
        <x:v>3</x:v>
      </x:c>
      <x:c r="D76" s="16" t="str">
        <x:v>Alternative 2</x:v>
      </x:c>
      <x:c r="E76" s="16" t="str">
        <x:v>Kycon</x:v>
      </x:c>
      <x:c r="F76" s="16" t="str">
        <x:v>KLDX-0202-A</x:v>
      </x:c>
      <x:c r="G76" s="16" t="str"/>
      <x:c r="H76" s="16" t="str">
        <x:v>THT horizontal barrel jack</x:v>
      </x:c>
      <x:c r="I76" s="16" t="str">
        <x:v>2.0 mm center pin; verify pinout/current</x:v>
      </x:c>
      <x:c r="J76" s="16" t="str">
        <x:v>High</x:v>
      </x:c>
      <x:c r="K76" s="16" t="str"/>
      <x:c r="L76" s="16" t="str">
        <x:v>Layout likely changes</x:v>
      </x:c>
      <x:c r="M76" s="16" t="str"/>
      <x:c r="N76" s="113" t="str">
        <x:v>https://www.digikey.com/en/products/result?keywords=KLDX-0202-A</x:v>
      </x:c>
    </x:row>
    <x:row r="77">
      <x:c r="A77" s="99" t="n">
        <x:v>19</x:v>
      </x:c>
      <x:c r="B77" s="16" t="str">
        <x:v>J1</x:v>
      </x:c>
      <x:c r="C77" s="16" t="n">
        <x:v>4</x:v>
      </x:c>
      <x:c r="D77" s="16" t="str">
        <x:v>Alternative 3</x:v>
      </x:c>
      <x:c r="E77" s="16" t="str">
        <x:v>Same Sky / CUI Devices</x:v>
      </x:c>
      <x:c r="F77" s="16" t="str">
        <x:v>PJ-102A</x:v>
      </x:c>
      <x:c r="G77" s="16" t="str"/>
      <x:c r="H77" s="16" t="str">
        <x:v>THT horizontal barrel jack</x:v>
      </x:c>
      <x:c r="I77" s="16" t="str">
        <x:v>2.0 mm center pin; verify switch/pinout</x:v>
      </x:c>
      <x:c r="J77" s="16" t="str">
        <x:v>High</x:v>
      </x:c>
      <x:c r="K77" s="16" t="str"/>
      <x:c r="L77" s="16" t="str">
        <x:v>Layout/pinout verification</x:v>
      </x:c>
      <x:c r="M77" s="16" t="str"/>
      <x:c r="N77" s="113" t="str">
        <x:v>https://www.digikey.com/en/products/result?keywords=PJ-102A</x:v>
      </x:c>
    </x:row>
    <x:row r="78">
      <x:c r="A78" s="99" t="n">
        <x:v>20</x:v>
      </x:c>
      <x:c r="B78" s="16" t="str">
        <x:v>J2</x:v>
      </x:c>
      <x:c r="C78" s="16" t="n">
        <x:v>1</x:v>
      </x:c>
      <x:c r="D78" s="16" t="str">
        <x:v>Primary</x:v>
      </x:c>
      <x:c r="E78" s="16" t="str">
        <x:v>HanRun</x:v>
      </x:c>
      <x:c r="F78" s="16" t="str">
        <x:v>HR911105A</x:v>
      </x:c>
      <x:c r="G78" s="16" t="str">
        <x:v>C12074</x:v>
      </x:c>
      <x:c r="H78" s="16" t="str">
        <x:v>THT MagJack</x:v>
      </x:c>
      <x:c r="I78" s="16" t="str">
        <x:v>10/100BASE-T, integrated magnetics and LEDs</x:v>
      </x:c>
      <x:c r="J78" s="16" t="str">
        <x:v>JLC stock reported high</x:v>
      </x:c>
      <x:c r="K78" s="16" t="str">
        <x:v>~$1.49</x:v>
      </x:c>
      <x:c r="L78" s="16" t="str">
        <x:v>Drop-in</x:v>
      </x:c>
      <x:c r="M78" s="16" t="str"/>
      <x:c r="N78" s="113" t="str">
        <x:v>https://jlcpcb.com/partdetail/HanRun-HR911105A/C12074</x:v>
      </x:c>
    </x:row>
    <x:row r="79">
      <x:c r="A79" s="99" t="n">
        <x:v>20</x:v>
      </x:c>
      <x:c r="B79" s="16" t="str">
        <x:v>J2</x:v>
      </x:c>
      <x:c r="C79" s="16" t="n">
        <x:v>2</x:v>
      </x:c>
      <x:c r="D79" s="16" t="str">
        <x:v>Alternative 1</x:v>
      </x:c>
      <x:c r="E79" s="16" t="str">
        <x:v>UDE</x:v>
      </x:c>
      <x:c r="F79" s="16" t="str">
        <x:v>RB1-125BAG1A</x:v>
      </x:c>
      <x:c r="G79" s="16" t="str"/>
      <x:c r="H79" s="16" t="str">
        <x:v>THT MagJack</x:v>
      </x:c>
      <x:c r="I79" s="16" t="str">
        <x:v>10/100BASE-T integrated magnetics/LEDs</x:v>
      </x:c>
      <x:c r="J79" s="16" t="str">
        <x:v>High</x:v>
      </x:c>
      <x:c r="K79" s="16" t="str"/>
      <x:c r="L79" s="16" t="str">
        <x:v>Mechanical/pinout verification</x:v>
      </x:c>
      <x:c r="M79" s="16" t="str"/>
      <x:c r="N79" s="113" t="str">
        <x:v>https://www.digikey.com/en/products/result?keywords=RB1-125BAG1A</x:v>
      </x:c>
    </x:row>
    <x:row r="80">
      <x:c r="A80" s="99" t="n">
        <x:v>20</x:v>
      </x:c>
      <x:c r="B80" s="16" t="str">
        <x:v>J2</x:v>
      </x:c>
      <x:c r="C80" s="16" t="n">
        <x:v>3</x:v>
      </x:c>
      <x:c r="D80" s="16" t="str">
        <x:v>Alternative 2</x:v>
      </x:c>
      <x:c r="E80" s="16" t="str">
        <x:v>Pulse Electronics</x:v>
      </x:c>
      <x:c r="F80" s="16" t="str">
        <x:v>J0011D21BNL</x:v>
      </x:c>
      <x:c r="G80" s="16" t="str"/>
      <x:c r="H80" s="16" t="str">
        <x:v>THT MagJack</x:v>
      </x:c>
      <x:c r="I80" s="16" t="str">
        <x:v>10/100BASE-T integrated magnetics/LEDs</x:v>
      </x:c>
      <x:c r="J80" s="16" t="str">
        <x:v>High</x:v>
      </x:c>
      <x:c r="K80" s="16" t="str"/>
      <x:c r="L80" s="16" t="str">
        <x:v>Layout/pinout change likely</x:v>
      </x:c>
      <x:c r="M80" s="16" t="str"/>
      <x:c r="N80" s="113" t="str">
        <x:v>https://www.digikey.com/en/products/result?keywords=J0011D21BNL</x:v>
      </x:c>
    </x:row>
    <x:row r="81">
      <x:c r="A81" s="99" t="n">
        <x:v>20</x:v>
      </x:c>
      <x:c r="B81" s="16" t="str">
        <x:v>J2</x:v>
      </x:c>
      <x:c r="C81" s="16" t="n">
        <x:v>4</x:v>
      </x:c>
      <x:c r="D81" s="16" t="str">
        <x:v>Alternative 3</x:v>
      </x:c>
      <x:c r="E81" s="16" t="str">
        <x:v>Würth Elektronik</x:v>
      </x:c>
      <x:c r="F81" s="16" t="str">
        <x:v>7499111121A</x:v>
      </x:c>
      <x:c r="G81" s="16" t="str"/>
      <x:c r="H81" s="16" t="str">
        <x:v>THT MagJack</x:v>
      </x:c>
      <x:c r="I81" s="16" t="str">
        <x:v>10/100BASE-T integrated magnetics/LEDs</x:v>
      </x:c>
      <x:c r="J81" s="16" t="str">
        <x:v>High</x:v>
      </x:c>
      <x:c r="K81" s="16" t="str"/>
      <x:c r="L81" s="16" t="str">
        <x:v>Layout/pinout change likely</x:v>
      </x:c>
      <x:c r="M81" s="16" t="str"/>
      <x:c r="N81" s="113" t="str">
        <x:v>https://www.digikey.com/en/products/result?keywords=7499111121A</x:v>
      </x:c>
    </x:row>
    <x:row r="82">
      <x:c r="A82" s="99" t="n">
        <x:v>21</x:v>
      </x:c>
      <x:c r="B82" s="16" t="str">
        <x:v>J3</x:v>
      </x:c>
      <x:c r="C82" s="16" t="n">
        <x:v>1</x:v>
      </x:c>
      <x:c r="D82" s="16" t="str">
        <x:v>Primary</x:v>
      </x:c>
      <x:c r="E82" s="16" t="str">
        <x:v>BOOMELE / generic</x:v>
      </x:c>
      <x:c r="F82" s="16" t="str">
        <x:v>2.54-1*4P</x:v>
      </x:c>
      <x:c r="G82" s="16" t="str">
        <x:v>C49257</x:v>
      </x:c>
      <x:c r="H82" s="16" t="str">
        <x:v>1x4, 2.54 mm, vertical THT</x:v>
      </x:c>
      <x:c r="I82" s="16" t="str">
        <x:v>Standard male pin header</x:v>
      </x:c>
      <x:c r="J82" s="16" t="str">
        <x:v>Very high / JLC commodity</x:v>
      </x:c>
      <x:c r="K82" s="16" t="str">
        <x:v>&lt;$0.05 typical</x:v>
      </x:c>
      <x:c r="L82" s="16" t="str">
        <x:v>Matches current KiCad footprint; not JST-PH</x:v>
      </x:c>
      <x:c r="M82" s="16" t="str"/>
      <x:c r="N82" s="113" t="str">
        <x:v>https://www.lcsc.com/search?q=C49257</x:v>
      </x:c>
    </x:row>
    <x:row r="83">
      <x:c r="A83" s="99" t="n">
        <x:v>21</x:v>
      </x:c>
      <x:c r="B83" s="16" t="str">
        <x:v>J3</x:v>
      </x:c>
      <x:c r="C83" s="16" t="n">
        <x:v>2</x:v>
      </x:c>
      <x:c r="D83" s="16" t="str">
        <x:v>Alternative 1</x:v>
      </x:c>
      <x:c r="E83" s="16" t="str">
        <x:v>Harwin</x:v>
      </x:c>
      <x:c r="F83" s="16" t="str">
        <x:v>M20-9990445</x:v>
      </x:c>
      <x:c r="G83" s="16" t="str"/>
      <x:c r="H83" s="16" t="str">
        <x:v>1x4, 2.54 mm, vertical THT</x:v>
      </x:c>
      <x:c r="I83" s="16" t="str">
        <x:v>Gold/tin pin header</x:v>
      </x:c>
      <x:c r="J83" s="16" t="str">
        <x:v>High</x:v>
      </x:c>
      <x:c r="K83" s="16" t="str"/>
      <x:c r="L83" s="16" t="str">
        <x:v>Drop-in mechanical</x:v>
      </x:c>
      <x:c r="M83" s="16" t="str"/>
      <x:c r="N83" s="113" t="str">
        <x:v>https://www.digikey.com/en/products/result?keywords=M20-9990445</x:v>
      </x:c>
    </x:row>
    <x:row r="84">
      <x:c r="A84" s="99" t="n">
        <x:v>21</x:v>
      </x:c>
      <x:c r="B84" s="16" t="str">
        <x:v>J3</x:v>
      </x:c>
      <x:c r="C84" s="16" t="n">
        <x:v>3</x:v>
      </x:c>
      <x:c r="D84" s="16" t="str">
        <x:v>Alternative 2</x:v>
      </x:c>
      <x:c r="E84" s="16" t="str">
        <x:v>Würth Elektronik</x:v>
      </x:c>
      <x:c r="F84" s="16" t="str">
        <x:v>61300411121</x:v>
      </x:c>
      <x:c r="G84" s="16" t="str"/>
      <x:c r="H84" s="16" t="str">
        <x:v>1x4, 2.54 mm, vertical THT</x:v>
      </x:c>
      <x:c r="I84" s="16" t="str">
        <x:v>Standard pin header</x:v>
      </x:c>
      <x:c r="J84" s="16" t="str">
        <x:v>High</x:v>
      </x:c>
      <x:c r="K84" s="16" t="str"/>
      <x:c r="L84" s="16" t="str">
        <x:v>Drop-in mechanical</x:v>
      </x:c>
      <x:c r="M84" s="16" t="str"/>
      <x:c r="N84" s="113" t="str">
        <x:v>https://www.digikey.com/en/products/result?keywords=61300411121</x:v>
      </x:c>
    </x:row>
    <x:row r="85">
      <x:c r="A85" s="99" t="n">
        <x:v>21</x:v>
      </x:c>
      <x:c r="B85" s="16" t="str">
        <x:v>J3</x:v>
      </x:c>
      <x:c r="C85" s="16" t="n">
        <x:v>4</x:v>
      </x:c>
      <x:c r="D85" s="16" t="str">
        <x:v>Alternative 3</x:v>
      </x:c>
      <x:c r="E85" s="16" t="str">
        <x:v>Samtec</x:v>
      </x:c>
      <x:c r="F85" s="16" t="str">
        <x:v>TSW-104-07-G-S</x:v>
      </x:c>
      <x:c r="G85" s="16" t="str"/>
      <x:c r="H85" s="16" t="str">
        <x:v>1x4, 2.54 mm, vertical THT</x:v>
      </x:c>
      <x:c r="I85" s="16" t="str">
        <x:v>Premium pin header</x:v>
      </x:c>
      <x:c r="J85" s="16" t="str">
        <x:v>High</x:v>
      </x:c>
      <x:c r="K85" s="16" t="str"/>
      <x:c r="L85" s="16" t="str">
        <x:v>Drop-in mechanical; verify pin length</x:v>
      </x:c>
      <x:c r="M85" s="16" t="str"/>
      <x:c r="N85" s="113" t="str">
        <x:v>https://www.digikey.com/en/products/result?keywords=TSW-104-07-G-S</x:v>
      </x:c>
    </x:row>
    <x:row r="86">
      <x:c r="A86" s="99" t="n">
        <x:v>22</x:v>
      </x:c>
      <x:c r="B86" s="16" t="str">
        <x:v>J10,J11,J12,J13,J14</x:v>
      </x:c>
      <x:c r="C86" s="16" t="n">
        <x:v>1</x:v>
      </x:c>
      <x:c r="D86" s="16" t="str">
        <x:v>Primary</x:v>
      </x:c>
      <x:c r="E86" s="16" t="str">
        <x:v>MAX / MaiXu</x:v>
      </x:c>
      <x:c r="F86" s="16" t="str">
        <x:v>MX126-5.0-03P-GN01-Cu-S-A</x:v>
      </x:c>
      <x:c r="G86" s="16" t="str">
        <x:v>C5188435</x:v>
      </x:c>
      <x:c r="H86" s="16" t="str">
        <x:v>3-pos THT, 5.00 mm</x:v>
      </x:c>
      <x:c r="I86" s="16" t="str">
        <x:v>10 A, 300 V, 14-26 AWG</x:v>
      </x:c>
      <x:c r="J86" s="16" t="str">
        <x:v>JLC listed</x:v>
      </x:c>
      <x:c r="K86" s="16" t="str">
        <x:v>~$0.10-$0.25</x:v>
      </x:c>
      <x:c r="L86" s="16" t="str">
        <x:v>Drop-in if exact custom footprint</x:v>
      </x:c>
      <x:c r="M86" s="16" t="str"/>
      <x:c r="N86" s="113" t="str">
        <x:v>https://jlcpcb.com/partdetail/MAX-MX126_5_003P_GN01_Cu_S_A/C5188435</x:v>
      </x:c>
    </x:row>
    <x:row r="87">
      <x:c r="A87" s="99" t="n">
        <x:v>22</x:v>
      </x:c>
      <x:c r="B87" s="16" t="str">
        <x:v>J10,J11,J12,J13,J14</x:v>
      </x:c>
      <x:c r="C87" s="16" t="n">
        <x:v>2</x:v>
      </x:c>
      <x:c r="D87" s="16" t="str">
        <x:v>Alternative 1</x:v>
      </x:c>
      <x:c r="E87" s="16" t="str">
        <x:v>Degson</x:v>
      </x:c>
      <x:c r="F87" s="16" t="str">
        <x:v>DG126-5.0-03P-1400AH</x:v>
      </x:c>
      <x:c r="G87" s="16" t="str"/>
      <x:c r="H87" s="16" t="str">
        <x:v>3-pos THT, 5.00 mm</x:v>
      </x:c>
      <x:c r="I87" s="16" t="str">
        <x:v>Terminal block, 5.0 mm pitch</x:v>
      </x:c>
      <x:c r="J87" s="16" t="str">
        <x:v>High</x:v>
      </x:c>
      <x:c r="K87" s="16" t="str"/>
      <x:c r="L87" s="16" t="str">
        <x:v>Verify body/pin dimensions</x:v>
      </x:c>
      <x:c r="M87" s="16" t="str"/>
      <x:c r="N87" s="113" t="str">
        <x:v>https://www.digikey.com/en/products/result?keywords=DG126-5.0-03P-1400AH</x:v>
      </x:c>
    </x:row>
    <x:row r="88">
      <x:c r="A88" s="99" t="n">
        <x:v>22</x:v>
      </x:c>
      <x:c r="B88" s="16" t="str">
        <x:v>J10,J11,J12,J13,J14</x:v>
      </x:c>
      <x:c r="C88" s="16" t="n">
        <x:v>3</x:v>
      </x:c>
      <x:c r="D88" s="16" t="str">
        <x:v>Alternative 2</x:v>
      </x:c>
      <x:c r="E88" s="16" t="str">
        <x:v>On Shore Technology</x:v>
      </x:c>
      <x:c r="F88" s="16" t="str">
        <x:v>OSTTA034163</x:v>
      </x:c>
      <x:c r="G88" s="16" t="str"/>
      <x:c r="H88" s="16" t="str">
        <x:v>3-pos THT, 5.00 mm</x:v>
      </x:c>
      <x:c r="I88" s="16" t="str">
        <x:v>Terminal block, 5.0 mm pitch</x:v>
      </x:c>
      <x:c r="J88" s="16" t="str">
        <x:v>High</x:v>
      </x:c>
      <x:c r="K88" s="16" t="str"/>
      <x:c r="L88" s="16" t="str">
        <x:v>Verify body/pin dimensions</x:v>
      </x:c>
      <x:c r="M88" s="16" t="str"/>
      <x:c r="N88" s="113" t="str">
        <x:v>https://www.digikey.com/en/products/result?keywords=OSTTA034163</x:v>
      </x:c>
    </x:row>
    <x:row r="89">
      <x:c r="A89" s="99" t="n">
        <x:v>22</x:v>
      </x:c>
      <x:c r="B89" s="16" t="str">
        <x:v>J10,J11,J12,J13,J14</x:v>
      </x:c>
      <x:c r="C89" s="16" t="n">
        <x:v>4</x:v>
      </x:c>
      <x:c r="D89" s="16" t="str">
        <x:v>Alternative 3</x:v>
      </x:c>
      <x:c r="E89" s="16" t="str">
        <x:v>Phoenix Contact</x:v>
      </x:c>
      <x:c r="F89" s="16" t="str">
        <x:v>1935161</x:v>
      </x:c>
      <x:c r="G89" s="16" t="str"/>
      <x:c r="H89" s="16" t="str">
        <x:v>3-pos THT, 5.08 mm</x:v>
      </x:c>
      <x:c r="I89" s="16" t="str">
        <x:v>MKDS series terminal block</x:v>
      </x:c>
      <x:c r="J89" s="16" t="str">
        <x:v>High</x:v>
      </x:c>
      <x:c r="K89" s="16" t="str"/>
      <x:c r="L89" s="16" t="str">
        <x:v>Pitch/layout change: 5.08 mm</x:v>
      </x:c>
      <x:c r="M89" s="16" t="str"/>
      <x:c r="N89" s="113" t="str">
        <x:v>https://www.digikey.com/en/products/result?keywords=1935161</x:v>
      </x:c>
    </x:row>
    <x:row r="90">
      <x:c r="A90" s="99" t="n">
        <x:v>23</x:v>
      </x:c>
      <x:c r="B90" s="16" t="str">
        <x:v>K10,K11,K12,K13,K14</x:v>
      </x:c>
      <x:c r="C90" s="16" t="n">
        <x:v>1</x:v>
      </x:c>
      <x:c r="D90" s="16" t="str">
        <x:v>Primary</x:v>
      </x:c>
      <x:c r="E90" s="16" t="str">
        <x:v>Omron</x:v>
      </x:c>
      <x:c r="F90" s="16" t="str">
        <x:v>G2RL-1-E-DC12</x:v>
      </x:c>
      <x:c r="G90" s="16" t="str">
        <x:v>C58243</x:v>
      </x:c>
      <x:c r="H90" s="16" t="str">
        <x:v>THT SPDT</x:v>
      </x:c>
      <x:c r="I90" s="16" t="str">
        <x:v>12 V coil; 16 A at 24 VDC resistive; 300 VDC max switching voltage</x:v>
      </x:c>
      <x:c r="J90" s="16" t="str">
        <x:v>JLC stock reported high</x:v>
      </x:c>
      <x:c r="K90" s="16" t="str">
        <x:v>~$1.57</x:v>
      </x:c>
      <x:c r="L90" s="16" t="str">
        <x:v>Drop-in</x:v>
      </x:c>
      <x:c r="M90" s="16" t="str">
        <x:v>48-52 VDC at 2 A is not the published rated-load point; qualify against the DC load curve, load type, life, and certification.</x:v>
      </x:c>
      <x:c r="N90" s="113" t="str">
        <x:v>https://jlcpcb.com/partdetail/Omron-G2RL_1_E_DC12/C58243</x:v>
      </x:c>
    </x:row>
    <x:row r="91">
      <x:c r="A91" s="99" t="n">
        <x:v>23</x:v>
      </x:c>
      <x:c r="B91" s="16" t="str">
        <x:v>K10,K11,K12,K13,K14</x:v>
      </x:c>
      <x:c r="C91" s="16" t="n">
        <x:v>2</x:v>
      </x:c>
      <x:c r="D91" s="16" t="str">
        <x:v>Alternative 1</x:v>
      </x:c>
      <x:c r="E91" s="16" t="str">
        <x:v>Omron</x:v>
      </x:c>
      <x:c r="F91" s="16" t="str">
        <x:v>G2RL-1-E-ASI-DC12</x:v>
      </x:c>
      <x:c r="G91" s="16" t="str"/>
      <x:c r="H91" s="16" t="str">
        <x:v>THT SPDT</x:v>
      </x:c>
      <x:c r="I91" s="16" t="str">
        <x:v>12 V coil, high-capacity G2RL variant</x:v>
      </x:c>
      <x:c r="J91" s="16" t="str">
        <x:v>High</x:v>
      </x:c>
      <x:c r="K91" s="16" t="str"/>
      <x:c r="L91" s="16" t="str">
        <x:v>Likely footprint-compatible; verify exact suffix</x:v>
      </x:c>
      <x:c r="M91" s="16" t="str"/>
      <x:c r="N91" s="113" t="str">
        <x:v>https://www.digikey.com/en/products/result?keywords=G2RL-1-E-ASI-DC12</x:v>
      </x:c>
    </x:row>
    <x:row r="92">
      <x:c r="A92" s="99" t="n">
        <x:v>23</x:v>
      </x:c>
      <x:c r="B92" s="16" t="str">
        <x:v>K10,K11,K12,K13,K14</x:v>
      </x:c>
      <x:c r="C92" s="16" t="n">
        <x:v>3</x:v>
      </x:c>
      <x:c r="D92" s="16" t="str">
        <x:v>Alternative 2</x:v>
      </x:c>
      <x:c r="E92" s="16" t="str">
        <x:v>TE Connectivity / Schrack</x:v>
      </x:c>
      <x:c r="F92" s="16" t="str">
        <x:v>RT314012</x:v>
      </x:c>
      <x:c r="G92" s="16" t="str"/>
      <x:c r="H92" s="16" t="str">
        <x:v>THT SPDT</x:v>
      </x:c>
      <x:c r="I92" s="16" t="str">
        <x:v>12 V coil power relay</x:v>
      </x:c>
      <x:c r="J92" s="16" t="str">
        <x:v>High</x:v>
      </x:c>
      <x:c r="K92" s="16" t="str"/>
      <x:c r="L92" s="16" t="str">
        <x:v>Layout/pinout change likely; verify DC load rating</x:v>
      </x:c>
      <x:c r="M92" s="16" t="str"/>
      <x:c r="N92" s="113" t="str">
        <x:v>https://www.digikey.com/en/products/result?keywords=RT314012</x:v>
      </x:c>
    </x:row>
    <x:row r="93">
      <x:c r="A93" s="99" t="n">
        <x:v>23</x:v>
      </x:c>
      <x:c r="B93" s="16" t="str">
        <x:v>K10,K11,K12,K13,K14</x:v>
      </x:c>
      <x:c r="C93" s="16" t="n">
        <x:v>4</x:v>
      </x:c>
      <x:c r="D93" s="16" t="str">
        <x:v>Alternative 3</x:v>
      </x:c>
      <x:c r="E93" s="16" t="str">
        <x:v>Hongfa</x:v>
      </x:c>
      <x:c r="F93" s="16" t="str">
        <x:v>HF115F/012-1ZS3</x:v>
      </x:c>
      <x:c r="G93" s="16" t="str"/>
      <x:c r="H93" s="16" t="str">
        <x:v>THT SPDT</x:v>
      </x:c>
      <x:c r="I93" s="16" t="str">
        <x:v>12 V coil power relay</x:v>
      </x:c>
      <x:c r="J93" s="16" t="str">
        <x:v>High</x:v>
      </x:c>
      <x:c r="K93" s="16" t="str"/>
      <x:c r="L93" s="16" t="str">
        <x:v>Layout/pinout change likely; verify DC load rating</x:v>
      </x:c>
      <x:c r="M93" s="16" t="str"/>
      <x:c r="N93" s="113" t="str">
        <x:v>https://www.digikey.com/en/products/result?keywords=HF115F%2F012-1ZS3</x:v>
      </x:c>
    </x:row>
    <x:row r="94">
      <x:c r="A94" s="99" t="n">
        <x:v>24</x:v>
      </x:c>
      <x:c r="B94" s="16" t="str">
        <x:v>L1</x:v>
      </x:c>
      <x:c r="C94" s="16" t="n">
        <x:v>1</x:v>
      </x:c>
      <x:c r="D94" s="16" t="str">
        <x:v>Primary</x:v>
      </x:c>
      <x:c r="E94" s="16" t="str">
        <x:v>Bourns</x:v>
      </x:c>
      <x:c r="F94" s="16" t="str">
        <x:v>MH1608-121Y</x:v>
      </x:c>
      <x:c r="G94" s="16" t="str">
        <x:v>C2650949</x:v>
      </x:c>
      <x:c r="H94" s="16" t="str">
        <x:v>0603</x:v>
      </x:c>
      <x:c r="I94" s="16" t="str">
        <x:v>120 Ω @ 100 MHz, 2 A, ≤100 mΩ</x:v>
      </x:c>
      <x:c r="J94" s="16" t="str">
        <x:v>LCSC stock reported moderate</x:v>
      </x:c>
      <x:c r="K94" s="16" t="str">
        <x:v>~$0.06</x:v>
      </x:c>
      <x:c r="L94" s="16" t="str">
        <x:v>Drop-in</x:v>
      </x:c>
      <x:c r="M94" s="16" t="str"/>
      <x:c r="N94" s="113" t="str">
        <x:v>https://www.lcsc.com/product-detail/Ferrite-Beads_Bourns-MH1608-121Y_C2650949.html</x:v>
      </x:c>
    </x:row>
    <x:row r="95">
      <x:c r="A95" s="99" t="n">
        <x:v>24</x:v>
      </x:c>
      <x:c r="B95" s="16" t="str">
        <x:v>L1</x:v>
      </x:c>
      <x:c r="C95" s="16" t="n">
        <x:v>2</x:v>
      </x:c>
      <x:c r="D95" s="16" t="str">
        <x:v>Alternative 1</x:v>
      </x:c>
      <x:c r="E95" s="16" t="str">
        <x:v>TDK</x:v>
      </x:c>
      <x:c r="F95" s="16" t="str">
        <x:v>MPZ1608S121ATA00</x:v>
      </x:c>
      <x:c r="G95" s="16" t="str"/>
      <x:c r="H95" s="16" t="str">
        <x:v>0603</x:v>
      </x:c>
      <x:c r="I95" s="16" t="str">
        <x:v>120 Ω @ 100 MHz, 2 A class</x:v>
      </x:c>
      <x:c r="J95" s="16" t="str">
        <x:v>Very high</x:v>
      </x:c>
      <x:c r="K95" s="16" t="str"/>
      <x:c r="L95" s="16" t="str">
        <x:v>Drop-in</x:v>
      </x:c>
      <x:c r="M95" s="16" t="str"/>
      <x:c r="N95" s="113" t="str">
        <x:v>https://www.digikey.com/en/products/result?keywords=MPZ1608S121ATA00</x:v>
      </x:c>
    </x:row>
    <x:row r="96">
      <x:c r="A96" s="99" t="n">
        <x:v>24</x:v>
      </x:c>
      <x:c r="B96" s="16" t="str">
        <x:v>L1</x:v>
      </x:c>
      <x:c r="C96" s="16" t="n">
        <x:v>3</x:v>
      </x:c>
      <x:c r="D96" s="16" t="str">
        <x:v>Alternative 2</x:v>
      </x:c>
      <x:c r="E96" s="16" t="str">
        <x:v>Murata</x:v>
      </x:c>
      <x:c r="F96" s="16" t="str">
        <x:v>BLM18AG121SN1D</x:v>
      </x:c>
      <x:c r="G96" s="16" t="str"/>
      <x:c r="H96" s="16" t="str">
        <x:v>0603</x:v>
      </x:c>
      <x:c r="I96" s="16" t="str">
        <x:v>120 Ω @ 100 MHz, 2 A class</x:v>
      </x:c>
      <x:c r="J96" s="16" t="str">
        <x:v>Very high</x:v>
      </x:c>
      <x:c r="K96" s="16" t="str"/>
      <x:c r="L96" s="16" t="str">
        <x:v>Drop-in</x:v>
      </x:c>
      <x:c r="M96" s="16" t="str"/>
      <x:c r="N96" s="113" t="str">
        <x:v>https://www.digikey.com/en/products/result?keywords=BLM18AG121SN1D</x:v>
      </x:c>
    </x:row>
    <x:row r="97">
      <x:c r="A97" s="99" t="n">
        <x:v>24</x:v>
      </x:c>
      <x:c r="B97" s="16" t="str">
        <x:v>L1</x:v>
      </x:c>
      <x:c r="C97" s="16" t="n">
        <x:v>4</x:v>
      </x:c>
      <x:c r="D97" s="16" t="str">
        <x:v>Alternative 3</x:v>
      </x:c>
      <x:c r="E97" s="16" t="str">
        <x:v>Taiyo Yuden</x:v>
      </x:c>
      <x:c r="F97" s="16" t="str">
        <x:v>BK1608HS121-T</x:v>
      </x:c>
      <x:c r="G97" s="16" t="str"/>
      <x:c r="H97" s="16" t="str">
        <x:v>0603</x:v>
      </x:c>
      <x:c r="I97" s="16" t="str">
        <x:v>120 Ω @ 100 MHz; verify current/DCR</x:v>
      </x:c>
      <x:c r="J97" s="16" t="str">
        <x:v>High</x:v>
      </x:c>
      <x:c r="K97" s="16" t="str"/>
      <x:c r="L97" s="16" t="str">
        <x:v>Drop-in</x:v>
      </x:c>
      <x:c r="M97" s="16" t="str"/>
      <x:c r="N97" s="113" t="str">
        <x:v>https://www.digikey.com/en/products/result?keywords=BK1608HS121-T</x:v>
      </x:c>
    </x:row>
    <x:row r="98">
      <x:c r="A98" s="99" t="n">
        <x:v>25</x:v>
      </x:c>
      <x:c r="B98" s="16" t="str">
        <x:v>L3</x:v>
      </x:c>
      <x:c r="C98" s="16" t="n">
        <x:v>1</x:v>
      </x:c>
      <x:c r="D98" s="16" t="str">
        <x:v>Primary</x:v>
      </x:c>
      <x:c r="E98" s="16" t="str">
        <x:v>Coilcraft</x:v>
      </x:c>
      <x:c r="F98" s="16" t="str">
        <x:v>XGL4020-152MEC</x:v>
      </x:c>
      <x:c r="G98" s="16" t="str"/>
      <x:c r="H98" s="16" t="str">
        <x:v>4.0 x 4.0 mm</x:v>
      </x:c>
      <x:c r="I98" s="16" t="str">
        <x:v>1.5 µH, lower DCR, high-current; official drop-in successor to XFL4020</x:v>
      </x:c>
      <x:c r="J98" s="16" t="str">
        <x:v>High distributor availability</x:v>
      </x:c>
      <x:c r="K98" s="16" t="str"/>
      <x:c r="L98" s="16" t="str">
        <x:v>Drop-in / preferred upgrade</x:v>
      </x:c>
      <x:c r="M98" s="16" t="str"/>
      <x:c r="N98" s="113" t="str">
        <x:v>https://www.coilcraft.com/en-us/products/power/shielded-inductors/molded-inductor/xgl/xgl4020/</x:v>
      </x:c>
    </x:row>
    <x:row r="99">
      <x:c r="A99" s="99" t="n">
        <x:v>25</x:v>
      </x:c>
      <x:c r="B99" s="16" t="str">
        <x:v>L3</x:v>
      </x:c>
      <x:c r="C99" s="16" t="n">
        <x:v>2</x:v>
      </x:c>
      <x:c r="D99" s="16" t="str">
        <x:v>Alternative 1</x:v>
      </x:c>
      <x:c r="E99" s="16" t="str">
        <x:v>Coilcraft</x:v>
      </x:c>
      <x:c r="F99" s="16" t="str">
        <x:v>XFL4020-152MEC</x:v>
      </x:c>
      <x:c r="G99" s="16" t="str">
        <x:v>C3033018</x:v>
      </x:c>
      <x:c r="H99" s="16" t="str">
        <x:v>4.0 x 4.0 mm</x:v>
      </x:c>
      <x:c r="I99" s="16" t="str">
        <x:v>1.5 µH, ~4.6 A saturation class, low DCR</x:v>
      </x:c>
      <x:c r="J99" s="16" t="str">
        <x:v>JLC listed</x:v>
      </x:c>
      <x:c r="K99" s="16" t="str"/>
      <x:c r="L99" s="16" t="str">
        <x:v>Drop-in</x:v>
      </x:c>
      <x:c r="M99" s="16" t="str"/>
      <x:c r="N99" s="113" t="str">
        <x:v>https://jlcpcb.com/partdetail/Coilcraft-XFL4020_152MEC/C3033018</x:v>
      </x:c>
    </x:row>
    <x:row r="100">
      <x:c r="A100" s="99" t="n">
        <x:v>25</x:v>
      </x:c>
      <x:c r="B100" s="16" t="str">
        <x:v>L3</x:v>
      </x:c>
      <x:c r="C100" s="16" t="n">
        <x:v>3</x:v>
      </x:c>
      <x:c r="D100" s="16" t="str">
        <x:v>Alternative 2</x:v>
      </x:c>
      <x:c r="E100" s="16" t="str">
        <x:v>Coilcraft</x:v>
      </x:c>
      <x:c r="F100" s="16" t="str">
        <x:v>XEL4020-152MEC</x:v>
      </x:c>
      <x:c r="G100" s="16" t="str"/>
      <x:c r="H100" s="16" t="str">
        <x:v>4.0 x 4.0 mm</x:v>
      </x:c>
      <x:c r="I100" s="16" t="str">
        <x:v>1.5 µH, high saturation current</x:v>
      </x:c>
      <x:c r="J100" s="16" t="str">
        <x:v>High</x:v>
      </x:c>
      <x:c r="K100" s="16" t="str"/>
      <x:c r="L100" s="16" t="str">
        <x:v>Footprint-compatible family; verify height/loss</x:v>
      </x:c>
      <x:c r="M100" s="16" t="str"/>
      <x:c r="N100" s="113" t="str">
        <x:v>https://www.digikey.com/en/products/result?keywords=XEL4020-152MEC</x:v>
      </x:c>
    </x:row>
    <x:row r="101">
      <x:c r="A101" s="99" t="n">
        <x:v>25</x:v>
      </x:c>
      <x:c r="B101" s="16" t="str">
        <x:v>L3</x:v>
      </x:c>
      <x:c r="C101" s="16" t="n">
        <x:v>4</x:v>
      </x:c>
      <x:c r="D101" s="16" t="str">
        <x:v>Alternative 3</x:v>
      </x:c>
      <x:c r="E101" s="16" t="str">
        <x:v>Bourns</x:v>
      </x:c>
      <x:c r="F101" s="16" t="str">
        <x:v>SRP4020TA-1R5M</x:v>
      </x:c>
      <x:c r="G101" s="16" t="str"/>
      <x:c r="H101" s="16" t="str">
        <x:v>4.0 x 4.0 mm class</x:v>
      </x:c>
      <x:c r="I101" s="16" t="str">
        <x:v>1.5 µH shielded power inductor</x:v>
      </x:c>
      <x:c r="J101" s="16" t="str">
        <x:v>High</x:v>
      </x:c>
      <x:c r="K101" s="16" t="str"/>
      <x:c r="L101" s="16" t="str">
        <x:v>Verify pad pattern, DCR, Isat and Irms</x:v>
      </x:c>
      <x:c r="M101" s="16" t="str"/>
      <x:c r="N101" s="113" t="str">
        <x:v>https://www.digikey.com/en/products/result?keywords=SRP4020TA-1R5M</x:v>
      </x:c>
    </x:row>
    <x:row r="102">
      <x:c r="A102" s="99" t="n">
        <x:v>26</x:v>
      </x:c>
      <x:c r="B102" s="16" t="str">
        <x:v>R1,R2,R3,R4,R5</x:v>
      </x:c>
      <x:c r="C102" s="16" t="n">
        <x:v>1</x:v>
      </x:c>
      <x:c r="D102" s="16" t="str">
        <x:v>Primary</x:v>
      </x:c>
      <x:c r="E102" s="16" t="str">
        <x:v>UniOhm/Uniohm</x:v>
      </x:c>
      <x:c r="F102" s="16" t="str">
        <x:v>0603WAF2201T5E</x:v>
      </x:c>
      <x:c r="G102" s="16" t="str"/>
      <x:c r="H102" s="16" t="str">
        <x:v>0603</x:v>
      </x:c>
      <x:c r="I102" s="16" t="str">
        <x:v>2.2 kΩ, 1%, ≥0.1 W</x:v>
      </x:c>
      <x:c r="J102" s="16" t="str">
        <x:v>Very high / commodity</x:v>
      </x:c>
      <x:c r="K102" s="16" t="str">
        <x:v>&lt;$0.01 typical</x:v>
      </x:c>
      <x:c r="L102" s="16" t="str">
        <x:v>Drop-in</x:v>
      </x:c>
      <x:c r="M102" s="16" t="str"/>
      <x:c r="N102" s="113" t="str">
        <x:v>https://www.lcsc.com/search?q=0603WAF2201T5E</x:v>
      </x:c>
    </x:row>
    <x:row r="103">
      <x:c r="A103" s="99" t="n">
        <x:v>26</x:v>
      </x:c>
      <x:c r="B103" s="16" t="str">
        <x:v>R1,R2,R3,R4,R5</x:v>
      </x:c>
      <x:c r="C103" s="16" t="n">
        <x:v>2</x:v>
      </x:c>
      <x:c r="D103" s="16" t="str">
        <x:v>Alternative 1</x:v>
      </x:c>
      <x:c r="E103" s="16" t="str">
        <x:v>Yageo</x:v>
      </x:c>
      <x:c r="F103" s="16" t="str">
        <x:v>RC0603FR-072K2L</x:v>
      </x:c>
      <x:c r="G103" s="16" t="str"/>
      <x:c r="H103" s="16" t="str">
        <x:v>0603</x:v>
      </x:c>
      <x:c r="I103" s="16" t="str">
        <x:v>2.2 kΩ, 1%, ≥0.1 W</x:v>
      </x:c>
      <x:c r="J103" s="16" t="str">
        <x:v>High / commodity</x:v>
      </x:c>
      <x:c r="K103" s="16" t="str"/>
      <x:c r="L103" s="16" t="str">
        <x:v>Drop-in</x:v>
      </x:c>
      <x:c r="M103" s="16" t="str"/>
      <x:c r="N103" s="113" t="str">
        <x:v>https://www.digikey.com/en/products/result?keywords=RC0603FR-072K2L</x:v>
      </x:c>
    </x:row>
    <x:row r="104">
      <x:c r="A104" s="99" t="n">
        <x:v>26</x:v>
      </x:c>
      <x:c r="B104" s="16" t="str">
        <x:v>R1,R2,R3,R4,R5</x:v>
      </x:c>
      <x:c r="C104" s="16" t="n">
        <x:v>3</x:v>
      </x:c>
      <x:c r="D104" s="16" t="str">
        <x:v>Alternative 2</x:v>
      </x:c>
      <x:c r="E104" s="16" t="str">
        <x:v>Panasonic</x:v>
      </x:c>
      <x:c r="F104" s="16" t="str">
        <x:v>ERJ-3EKF2201V</x:v>
      </x:c>
      <x:c r="G104" s="16" t="str"/>
      <x:c r="H104" s="16" t="str">
        <x:v>0603</x:v>
      </x:c>
      <x:c r="I104" s="16" t="str">
        <x:v>2.2 kΩ, 1%, ≥0.1 W</x:v>
      </x:c>
      <x:c r="J104" s="16" t="str">
        <x:v>High / commodity</x:v>
      </x:c>
      <x:c r="K104" s="16" t="str"/>
      <x:c r="L104" s="16" t="str">
        <x:v>Drop-in</x:v>
      </x:c>
      <x:c r="M104" s="16" t="str"/>
      <x:c r="N104" s="113" t="str">
        <x:v>https://www.digikey.com/en/products/result?keywords=ERJ-3EKF2201V</x:v>
      </x:c>
    </x:row>
    <x:row r="105">
      <x:c r="A105" s="99" t="n">
        <x:v>26</x:v>
      </x:c>
      <x:c r="B105" s="16" t="str">
        <x:v>R1,R2,R3,R4,R5</x:v>
      </x:c>
      <x:c r="C105" s="16" t="n">
        <x:v>4</x:v>
      </x:c>
      <x:c r="D105" s="16" t="str">
        <x:v>Alternative 3</x:v>
      </x:c>
      <x:c r="E105" s="16" t="str">
        <x:v>Vishay</x:v>
      </x:c>
      <x:c r="F105" s="16" t="str">
        <x:v>CRCW06032K20FKEA</x:v>
      </x:c>
      <x:c r="G105" s="16" t="str"/>
      <x:c r="H105" s="16" t="str">
        <x:v>0603</x:v>
      </x:c>
      <x:c r="I105" s="16" t="str">
        <x:v>2.2 kΩ, 1%, ≥0.1 W</x:v>
      </x:c>
      <x:c r="J105" s="16" t="str">
        <x:v>High / commodity</x:v>
      </x:c>
      <x:c r="K105" s="16" t="str"/>
      <x:c r="L105" s="16" t="str">
        <x:v>Drop-in</x:v>
      </x:c>
      <x:c r="M105" s="16" t="str"/>
      <x:c r="N105" s="113" t="str">
        <x:v>https://www.digikey.com/en/products/result?keywords=CRCW06032K20FKEA</x:v>
      </x:c>
    </x:row>
    <x:row r="106">
      <x:c r="A106" s="99" t="n">
        <x:v>27</x:v>
      </x:c>
      <x:c r="B106" s="16" t="str">
        <x:v>R6</x:v>
      </x:c>
      <x:c r="C106" s="16" t="n">
        <x:v>1</x:v>
      </x:c>
      <x:c r="D106" s="16" t="str">
        <x:v>Primary</x:v>
      </x:c>
      <x:c r="E106" s="16" t="str">
        <x:v>UniOhm/Uniohm</x:v>
      </x:c>
      <x:c r="F106" s="16" t="str">
        <x:v>0402WGF1242TCE</x:v>
      </x:c>
      <x:c r="G106" s="16" t="str"/>
      <x:c r="H106" s="16" t="str">
        <x:v>0402</x:v>
      </x:c>
      <x:c r="I106" s="16" t="str">
        <x:v>12.4 kΩ, 1%, ≥0.063 W</x:v>
      </x:c>
      <x:c r="J106" s="16" t="str">
        <x:v>Very high / commodity</x:v>
      </x:c>
      <x:c r="K106" s="16" t="str">
        <x:v>&lt;$0.01 typical</x:v>
      </x:c>
      <x:c r="L106" s="16" t="str">
        <x:v>Drop-in</x:v>
      </x:c>
      <x:c r="M106" s="16" t="str"/>
      <x:c r="N106" s="113" t="str">
        <x:v>https://www.lcsc.com/search?q=0402WGF1242TCE</x:v>
      </x:c>
    </x:row>
    <x:row r="107">
      <x:c r="A107" s="99" t="n">
        <x:v>27</x:v>
      </x:c>
      <x:c r="B107" s="16" t="str">
        <x:v>R6</x:v>
      </x:c>
      <x:c r="C107" s="16" t="n">
        <x:v>2</x:v>
      </x:c>
      <x:c r="D107" s="16" t="str">
        <x:v>Alternative 1</x:v>
      </x:c>
      <x:c r="E107" s="16" t="str">
        <x:v>Yageo</x:v>
      </x:c>
      <x:c r="F107" s="16" t="str">
        <x:v>RC0402FR-0712K4L</x:v>
      </x:c>
      <x:c r="G107" s="16" t="str"/>
      <x:c r="H107" s="16" t="str">
        <x:v>0402</x:v>
      </x:c>
      <x:c r="I107" s="16" t="str">
        <x:v>12.4 kΩ, 1%, ≥0.063 W</x:v>
      </x:c>
      <x:c r="J107" s="16" t="str">
        <x:v>High / commodity</x:v>
      </x:c>
      <x:c r="K107" s="16" t="str"/>
      <x:c r="L107" s="16" t="str">
        <x:v>Drop-in</x:v>
      </x:c>
      <x:c r="M107" s="16" t="str"/>
      <x:c r="N107" s="113" t="str">
        <x:v>https://www.digikey.com/en/products/result?keywords=RC0402FR-0712K4L</x:v>
      </x:c>
    </x:row>
    <x:row r="108">
      <x:c r="A108" s="99" t="n">
        <x:v>27</x:v>
      </x:c>
      <x:c r="B108" s="16" t="str">
        <x:v>R6</x:v>
      </x:c>
      <x:c r="C108" s="16" t="n">
        <x:v>3</x:v>
      </x:c>
      <x:c r="D108" s="16" t="str">
        <x:v>Alternative 2</x:v>
      </x:c>
      <x:c r="E108" s="16" t="str">
        <x:v>Panasonic</x:v>
      </x:c>
      <x:c r="F108" s="16" t="str">
        <x:v>ERJ-2RKF1242X</x:v>
      </x:c>
      <x:c r="G108" s="16" t="str"/>
      <x:c r="H108" s="16" t="str">
        <x:v>0402</x:v>
      </x:c>
      <x:c r="I108" s="16" t="str">
        <x:v>12.4 kΩ, 1%, ≥0.063 W</x:v>
      </x:c>
      <x:c r="J108" s="16" t="str">
        <x:v>High / commodity</x:v>
      </x:c>
      <x:c r="K108" s="16" t="str"/>
      <x:c r="L108" s="16" t="str">
        <x:v>Drop-in</x:v>
      </x:c>
      <x:c r="M108" s="16" t="str"/>
      <x:c r="N108" s="113" t="str">
        <x:v>https://www.digikey.com/en/products/result?keywords=ERJ-2RKF1242X</x:v>
      </x:c>
    </x:row>
    <x:row r="109">
      <x:c r="A109" s="99" t="n">
        <x:v>27</x:v>
      </x:c>
      <x:c r="B109" s="16" t="str">
        <x:v>R6</x:v>
      </x:c>
      <x:c r="C109" s="16" t="n">
        <x:v>4</x:v>
      </x:c>
      <x:c r="D109" s="16" t="str">
        <x:v>Alternative 3</x:v>
      </x:c>
      <x:c r="E109" s="16" t="str">
        <x:v>Vishay</x:v>
      </x:c>
      <x:c r="F109" s="16" t="str">
        <x:v>CRCW040212K4FKED</x:v>
      </x:c>
      <x:c r="G109" s="16" t="str"/>
      <x:c r="H109" s="16" t="str">
        <x:v>0402</x:v>
      </x:c>
      <x:c r="I109" s="16" t="str">
        <x:v>12.4 kΩ, 1%, ≥0.063 W</x:v>
      </x:c>
      <x:c r="J109" s="16" t="str">
        <x:v>High / commodity</x:v>
      </x:c>
      <x:c r="K109" s="16" t="str"/>
      <x:c r="L109" s="16" t="str">
        <x:v>Drop-in</x:v>
      </x:c>
      <x:c r="M109" s="16" t="str"/>
      <x:c r="N109" s="113" t="str">
        <x:v>https://www.digikey.com/en/products/result?keywords=CRCW040212K4FKED</x:v>
      </x:c>
    </x:row>
    <x:row r="110">
      <x:c r="A110" s="99" t="n">
        <x:v>28</x:v>
      </x:c>
      <x:c r="B110" s="16" t="str">
        <x:v>R7,R8,R16,R17</x:v>
      </x:c>
      <x:c r="C110" s="16" t="n">
        <x:v>1</x:v>
      </x:c>
      <x:c r="D110" s="16" t="str">
        <x:v>Primary</x:v>
      </x:c>
      <x:c r="E110" s="16" t="str">
        <x:v>UniOhm/Uniohm</x:v>
      </x:c>
      <x:c r="F110" s="16" t="str">
        <x:v>0603WAF330JT5E</x:v>
      </x:c>
      <x:c r="G110" s="16" t="str"/>
      <x:c r="H110" s="16" t="str">
        <x:v>0603</x:v>
      </x:c>
      <x:c r="I110" s="16" t="str">
        <x:v>33 Ω, 1%, ≥0.1 W</x:v>
      </x:c>
      <x:c r="J110" s="16" t="str">
        <x:v>Very high / commodity</x:v>
      </x:c>
      <x:c r="K110" s="16" t="str">
        <x:v>&lt;$0.01 typical</x:v>
      </x:c>
      <x:c r="L110" s="16" t="str">
        <x:v>Drop-in</x:v>
      </x:c>
      <x:c r="M110" s="16" t="str"/>
      <x:c r="N110" s="113" t="str">
        <x:v>https://www.lcsc.com/search?q=0603WAF330JT5E</x:v>
      </x:c>
    </x:row>
    <x:row r="111">
      <x:c r="A111" s="99" t="n">
        <x:v>28</x:v>
      </x:c>
      <x:c r="B111" s="16" t="str">
        <x:v>R7,R8,R16,R17</x:v>
      </x:c>
      <x:c r="C111" s="16" t="n">
        <x:v>2</x:v>
      </x:c>
      <x:c r="D111" s="16" t="str">
        <x:v>Alternative 1</x:v>
      </x:c>
      <x:c r="E111" s="16" t="str">
        <x:v>Yageo</x:v>
      </x:c>
      <x:c r="F111" s="16" t="str">
        <x:v>RC0603FR-0733RL</x:v>
      </x:c>
      <x:c r="G111" s="16" t="str"/>
      <x:c r="H111" s="16" t="str">
        <x:v>0603</x:v>
      </x:c>
      <x:c r="I111" s="16" t="str">
        <x:v>33 Ω, 1%, ≥0.1 W</x:v>
      </x:c>
      <x:c r="J111" s="16" t="str">
        <x:v>High / commodity</x:v>
      </x:c>
      <x:c r="K111" s="16" t="str"/>
      <x:c r="L111" s="16" t="str">
        <x:v>Drop-in</x:v>
      </x:c>
      <x:c r="M111" s="16" t="str"/>
      <x:c r="N111" s="113" t="str">
        <x:v>https://www.digikey.com/en/products/result?keywords=RC0603FR-0733RL</x:v>
      </x:c>
    </x:row>
    <x:row r="112">
      <x:c r="A112" s="99" t="n">
        <x:v>28</x:v>
      </x:c>
      <x:c r="B112" s="16" t="str">
        <x:v>R7,R8,R16,R17</x:v>
      </x:c>
      <x:c r="C112" s="16" t="n">
        <x:v>3</x:v>
      </x:c>
      <x:c r="D112" s="16" t="str">
        <x:v>Alternative 2</x:v>
      </x:c>
      <x:c r="E112" s="16" t="str">
        <x:v>Panasonic</x:v>
      </x:c>
      <x:c r="F112" s="16" t="str">
        <x:v>ERJ-3EKF33R0V</x:v>
      </x:c>
      <x:c r="G112" s="16" t="str"/>
      <x:c r="H112" s="16" t="str">
        <x:v>0603</x:v>
      </x:c>
      <x:c r="I112" s="16" t="str">
        <x:v>33 Ω, 1%, ≥0.1 W</x:v>
      </x:c>
      <x:c r="J112" s="16" t="str">
        <x:v>High / commodity</x:v>
      </x:c>
      <x:c r="K112" s="16" t="str"/>
      <x:c r="L112" s="16" t="str">
        <x:v>Drop-in</x:v>
      </x:c>
      <x:c r="M112" s="16" t="str"/>
      <x:c r="N112" s="113" t="str">
        <x:v>https://www.digikey.com/en/products/result?keywords=ERJ-3EKF33R0V</x:v>
      </x:c>
    </x:row>
    <x:row r="113">
      <x:c r="A113" s="99" t="n">
        <x:v>28</x:v>
      </x:c>
      <x:c r="B113" s="16" t="str">
        <x:v>R7,R8,R16,R17</x:v>
      </x:c>
      <x:c r="C113" s="16" t="n">
        <x:v>4</x:v>
      </x:c>
      <x:c r="D113" s="16" t="str">
        <x:v>Alternative 3</x:v>
      </x:c>
      <x:c r="E113" s="16" t="str">
        <x:v>Vishay</x:v>
      </x:c>
      <x:c r="F113" s="16" t="str">
        <x:v>CRCW060333R0FKEA</x:v>
      </x:c>
      <x:c r="G113" s="16" t="str"/>
      <x:c r="H113" s="16" t="str">
        <x:v>0603</x:v>
      </x:c>
      <x:c r="I113" s="16" t="str">
        <x:v>33 Ω, 1%, ≥0.1 W</x:v>
      </x:c>
      <x:c r="J113" s="16" t="str">
        <x:v>High / commodity</x:v>
      </x:c>
      <x:c r="K113" s="16" t="str"/>
      <x:c r="L113" s="16" t="str">
        <x:v>Drop-in</x:v>
      </x:c>
      <x:c r="M113" s="16" t="str"/>
      <x:c r="N113" s="113" t="str">
        <x:v>https://www.digikey.com/en/products/result?keywords=CRCW060333R0FKEA</x:v>
      </x:c>
    </x:row>
    <x:row r="114">
      <x:c r="A114" s="99" t="n">
        <x:v>29</x:v>
      </x:c>
      <x:c r="B114" s="16" t="str">
        <x:v>R9,R15,R29</x:v>
      </x:c>
      <x:c r="C114" s="16" t="n">
        <x:v>1</x:v>
      </x:c>
      <x:c r="D114" s="16" t="str">
        <x:v>Primary</x:v>
      </x:c>
      <x:c r="E114" s="16" t="str">
        <x:v>UniOhm/Uniohm</x:v>
      </x:c>
      <x:c r="F114" s="16" t="str">
        <x:v>0603WAF3300T5E</x:v>
      </x:c>
      <x:c r="G114" s="16" t="str"/>
      <x:c r="H114" s="16" t="str">
        <x:v>0603</x:v>
      </x:c>
      <x:c r="I114" s="16" t="str">
        <x:v>330 Ω, 1%, ≥0.1 W</x:v>
      </x:c>
      <x:c r="J114" s="16" t="str">
        <x:v>Very high / commodity</x:v>
      </x:c>
      <x:c r="K114" s="16" t="str">
        <x:v>&lt;$0.01 typical</x:v>
      </x:c>
      <x:c r="L114" s="16" t="str">
        <x:v>Drop-in</x:v>
      </x:c>
      <x:c r="M114" s="16" t="str"/>
      <x:c r="N114" s="113" t="str">
        <x:v>https://www.lcsc.com/search?q=0603WAF3300T5E</x:v>
      </x:c>
    </x:row>
    <x:row r="115">
      <x:c r="A115" s="99" t="n">
        <x:v>29</x:v>
      </x:c>
      <x:c r="B115" s="16" t="str">
        <x:v>R9,R15,R29</x:v>
      </x:c>
      <x:c r="C115" s="16" t="n">
        <x:v>2</x:v>
      </x:c>
      <x:c r="D115" s="16" t="str">
        <x:v>Alternative 1</x:v>
      </x:c>
      <x:c r="E115" s="16" t="str">
        <x:v>Yageo</x:v>
      </x:c>
      <x:c r="F115" s="16" t="str">
        <x:v>RC0603FR-07330RL</x:v>
      </x:c>
      <x:c r="G115" s="16" t="str"/>
      <x:c r="H115" s="16" t="str">
        <x:v>0603</x:v>
      </x:c>
      <x:c r="I115" s="16" t="str">
        <x:v>330 Ω, 1%, ≥0.1 W</x:v>
      </x:c>
      <x:c r="J115" s="16" t="str">
        <x:v>High / commodity</x:v>
      </x:c>
      <x:c r="K115" s="16" t="str"/>
      <x:c r="L115" s="16" t="str">
        <x:v>Drop-in</x:v>
      </x:c>
      <x:c r="M115" s="16" t="str"/>
      <x:c r="N115" s="113" t="str">
        <x:v>https://www.digikey.com/en/products/result?keywords=RC0603FR-07330RL</x:v>
      </x:c>
    </x:row>
    <x:row r="116">
      <x:c r="A116" s="99" t="n">
        <x:v>29</x:v>
      </x:c>
      <x:c r="B116" s="16" t="str">
        <x:v>R9,R15,R29</x:v>
      </x:c>
      <x:c r="C116" s="16" t="n">
        <x:v>3</x:v>
      </x:c>
      <x:c r="D116" s="16" t="str">
        <x:v>Alternative 2</x:v>
      </x:c>
      <x:c r="E116" s="16" t="str">
        <x:v>Panasonic</x:v>
      </x:c>
      <x:c r="F116" s="16" t="str">
        <x:v>ERJ-3EKF3300V</x:v>
      </x:c>
      <x:c r="G116" s="16" t="str"/>
      <x:c r="H116" s="16" t="str">
        <x:v>0603</x:v>
      </x:c>
      <x:c r="I116" s="16" t="str">
        <x:v>330 Ω, 1%, ≥0.1 W</x:v>
      </x:c>
      <x:c r="J116" s="16" t="str">
        <x:v>High / commodity</x:v>
      </x:c>
      <x:c r="K116" s="16" t="str"/>
      <x:c r="L116" s="16" t="str">
        <x:v>Drop-in</x:v>
      </x:c>
      <x:c r="M116" s="16" t="str"/>
      <x:c r="N116" s="113" t="str">
        <x:v>https://www.digikey.com/en/products/result?keywords=ERJ-3EKF3300V</x:v>
      </x:c>
    </x:row>
    <x:row r="117">
      <x:c r="A117" s="99" t="n">
        <x:v>29</x:v>
      </x:c>
      <x:c r="B117" s="16" t="str">
        <x:v>R9,R15,R29</x:v>
      </x:c>
      <x:c r="C117" s="16" t="n">
        <x:v>4</x:v>
      </x:c>
      <x:c r="D117" s="16" t="str">
        <x:v>Alternative 3</x:v>
      </x:c>
      <x:c r="E117" s="16" t="str">
        <x:v>Vishay</x:v>
      </x:c>
      <x:c r="F117" s="16" t="str">
        <x:v>CRCW0603330RFKEA</x:v>
      </x:c>
      <x:c r="G117" s="16" t="str"/>
      <x:c r="H117" s="16" t="str">
        <x:v>0603</x:v>
      </x:c>
      <x:c r="I117" s="16" t="str">
        <x:v>330 Ω, 1%, ≥0.1 W</x:v>
      </x:c>
      <x:c r="J117" s="16" t="str">
        <x:v>High / commodity</x:v>
      </x:c>
      <x:c r="K117" s="16" t="str"/>
      <x:c r="L117" s="16" t="str">
        <x:v>Drop-in</x:v>
      </x:c>
      <x:c r="M117" s="16" t="str"/>
      <x:c r="N117" s="113" t="str">
        <x:v>https://www.digikey.com/en/products/result?keywords=CRCW0603330RFKEA</x:v>
      </x:c>
    </x:row>
    <x:row r="118">
      <x:c r="A118" s="99" t="n">
        <x:v>30</x:v>
      </x:c>
      <x:c r="B118" s="16" t="str">
        <x:v>R10,R11,R12,R13,R14</x:v>
      </x:c>
      <x:c r="C118" s="16" t="n">
        <x:v>1</x:v>
      </x:c>
      <x:c r="D118" s="16" t="str">
        <x:v>Primary</x:v>
      </x:c>
      <x:c r="E118" s="16" t="str">
        <x:v>UniOhm/Uniohm</x:v>
      </x:c>
      <x:c r="F118" s="16" t="str">
        <x:v>0603WAF1003T5E</x:v>
      </x:c>
      <x:c r="G118" s="16" t="str"/>
      <x:c r="H118" s="16" t="str">
        <x:v>0603</x:v>
      </x:c>
      <x:c r="I118" s="16" t="str">
        <x:v>100 kΩ, 1%, ≥0.1 W</x:v>
      </x:c>
      <x:c r="J118" s="16" t="str">
        <x:v>Very high / commodity</x:v>
      </x:c>
      <x:c r="K118" s="16" t="str">
        <x:v>&lt;$0.01 typical</x:v>
      </x:c>
      <x:c r="L118" s="16" t="str">
        <x:v>Drop-in</x:v>
      </x:c>
      <x:c r="M118" s="16" t="str"/>
      <x:c r="N118" s="113" t="str">
        <x:v>https://www.lcsc.com/search?q=0603WAF1003T5E</x:v>
      </x:c>
    </x:row>
    <x:row r="119">
      <x:c r="A119" s="99" t="n">
        <x:v>30</x:v>
      </x:c>
      <x:c r="B119" s="16" t="str">
        <x:v>R10,R11,R12,R13,R14</x:v>
      </x:c>
      <x:c r="C119" s="16" t="n">
        <x:v>2</x:v>
      </x:c>
      <x:c r="D119" s="16" t="str">
        <x:v>Alternative 1</x:v>
      </x:c>
      <x:c r="E119" s="16" t="str">
        <x:v>Yageo</x:v>
      </x:c>
      <x:c r="F119" s="16" t="str">
        <x:v>RC0603FR-07100KL</x:v>
      </x:c>
      <x:c r="G119" s="16" t="str"/>
      <x:c r="H119" s="16" t="str">
        <x:v>0603</x:v>
      </x:c>
      <x:c r="I119" s="16" t="str">
        <x:v>100 kΩ, 1%, ≥0.1 W</x:v>
      </x:c>
      <x:c r="J119" s="16" t="str">
        <x:v>High / commodity</x:v>
      </x:c>
      <x:c r="K119" s="16" t="str"/>
      <x:c r="L119" s="16" t="str">
        <x:v>Drop-in</x:v>
      </x:c>
      <x:c r="M119" s="16" t="str"/>
      <x:c r="N119" s="113" t="str">
        <x:v>https://www.digikey.com/en/products/result?keywords=RC0603FR-07100KL</x:v>
      </x:c>
    </x:row>
    <x:row r="120">
      <x:c r="A120" s="99" t="n">
        <x:v>30</x:v>
      </x:c>
      <x:c r="B120" s="16" t="str">
        <x:v>R10,R11,R12,R13,R14</x:v>
      </x:c>
      <x:c r="C120" s="16" t="n">
        <x:v>3</x:v>
      </x:c>
      <x:c r="D120" s="16" t="str">
        <x:v>Alternative 2</x:v>
      </x:c>
      <x:c r="E120" s="16" t="str">
        <x:v>Panasonic</x:v>
      </x:c>
      <x:c r="F120" s="16" t="str">
        <x:v>ERJ-3EKF1003V</x:v>
      </x:c>
      <x:c r="G120" s="16" t="str"/>
      <x:c r="H120" s="16" t="str">
        <x:v>0603</x:v>
      </x:c>
      <x:c r="I120" s="16" t="str">
        <x:v>100 kΩ, 1%, ≥0.1 W</x:v>
      </x:c>
      <x:c r="J120" s="16" t="str">
        <x:v>High / commodity</x:v>
      </x:c>
      <x:c r="K120" s="16" t="str"/>
      <x:c r="L120" s="16" t="str">
        <x:v>Drop-in</x:v>
      </x:c>
      <x:c r="M120" s="16" t="str"/>
      <x:c r="N120" s="113" t="str">
        <x:v>https://www.digikey.com/en/products/result?keywords=ERJ-3EKF1003V</x:v>
      </x:c>
    </x:row>
    <x:row r="121">
      <x:c r="A121" s="99" t="n">
        <x:v>30</x:v>
      </x:c>
      <x:c r="B121" s="16" t="str">
        <x:v>R10,R11,R12,R13,R14</x:v>
      </x:c>
      <x:c r="C121" s="16" t="n">
        <x:v>4</x:v>
      </x:c>
      <x:c r="D121" s="16" t="str">
        <x:v>Alternative 3</x:v>
      </x:c>
      <x:c r="E121" s="16" t="str">
        <x:v>Vishay</x:v>
      </x:c>
      <x:c r="F121" s="16" t="str">
        <x:v>CRCW0603100KFKEA</x:v>
      </x:c>
      <x:c r="G121" s="16" t="str"/>
      <x:c r="H121" s="16" t="str">
        <x:v>0603</x:v>
      </x:c>
      <x:c r="I121" s="16" t="str">
        <x:v>100 kΩ, 1%, ≥0.1 W</x:v>
      </x:c>
      <x:c r="J121" s="16" t="str">
        <x:v>High / commodity</x:v>
      </x:c>
      <x:c r="K121" s="16" t="str"/>
      <x:c r="L121" s="16" t="str">
        <x:v>Drop-in</x:v>
      </x:c>
      <x:c r="M121" s="16" t="str"/>
      <x:c r="N121" s="113" t="str">
        <x:v>https://www.digikey.com/en/products/result?keywords=CRCW0603100KFKEA</x:v>
      </x:c>
    </x:row>
    <x:row r="122">
      <x:c r="A122" s="99" t="n">
        <x:v>31</x:v>
      </x:c>
      <x:c r="B122" s="16" t="str">
        <x:v>R18,R19,R21,R22</x:v>
      </x:c>
      <x:c r="C122" s="16" t="n">
        <x:v>1</x:v>
      </x:c>
      <x:c r="D122" s="16" t="str">
        <x:v>Primary</x:v>
      </x:c>
      <x:c r="E122" s="16" t="str">
        <x:v>UniOhm/Uniohm</x:v>
      </x:c>
      <x:c r="F122" s="16" t="str">
        <x:v>0201WMF499JTCE</x:v>
      </x:c>
      <x:c r="G122" s="16" t="str"/>
      <x:c r="H122" s="16" t="str">
        <x:v>0201</x:v>
      </x:c>
      <x:c r="I122" s="16" t="str">
        <x:v>49.9 Ω, 1%, ≥0.05 W</x:v>
      </x:c>
      <x:c r="J122" s="16" t="str">
        <x:v>Very high / commodity</x:v>
      </x:c>
      <x:c r="K122" s="16" t="str">
        <x:v>&lt;$0.01 typical</x:v>
      </x:c>
      <x:c r="L122" s="16" t="str">
        <x:v>Drop-in</x:v>
      </x:c>
      <x:c r="M122" s="16" t="str"/>
      <x:c r="N122" s="113" t="str">
        <x:v>https://www.lcsc.com/search?q=0201WMF499JTCE</x:v>
      </x:c>
    </x:row>
    <x:row r="123">
      <x:c r="A123" s="99" t="n">
        <x:v>31</x:v>
      </x:c>
      <x:c r="B123" s="16" t="str">
        <x:v>R18,R19,R21,R22</x:v>
      </x:c>
      <x:c r="C123" s="16" t="n">
        <x:v>2</x:v>
      </x:c>
      <x:c r="D123" s="16" t="str">
        <x:v>Alternative 1</x:v>
      </x:c>
      <x:c r="E123" s="16" t="str">
        <x:v>Yageo</x:v>
      </x:c>
      <x:c r="F123" s="16" t="str">
        <x:v>RC0201FR-0749R9L</x:v>
      </x:c>
      <x:c r="G123" s="16" t="str"/>
      <x:c r="H123" s="16" t="str">
        <x:v>0201</x:v>
      </x:c>
      <x:c r="I123" s="16" t="str">
        <x:v>49.9 Ω, 1%, ≥0.05 W</x:v>
      </x:c>
      <x:c r="J123" s="16" t="str">
        <x:v>High / commodity</x:v>
      </x:c>
      <x:c r="K123" s="16" t="str"/>
      <x:c r="L123" s="16" t="str">
        <x:v>Drop-in</x:v>
      </x:c>
      <x:c r="M123" s="16" t="str"/>
      <x:c r="N123" s="113" t="str">
        <x:v>https://www.digikey.com/en/products/result?keywords=RC0201FR-0749R9L</x:v>
      </x:c>
    </x:row>
    <x:row r="124">
      <x:c r="A124" s="99" t="n">
        <x:v>31</x:v>
      </x:c>
      <x:c r="B124" s="16" t="str">
        <x:v>R18,R19,R21,R22</x:v>
      </x:c>
      <x:c r="C124" s="16" t="n">
        <x:v>3</x:v>
      </x:c>
      <x:c r="D124" s="16" t="str">
        <x:v>Alternative 2</x:v>
      </x:c>
      <x:c r="E124" s="16" t="str">
        <x:v>Panasonic</x:v>
      </x:c>
      <x:c r="F124" s="16" t="str">
        <x:v>ERJ-1GNF49R9C</x:v>
      </x:c>
      <x:c r="G124" s="16" t="str"/>
      <x:c r="H124" s="16" t="str">
        <x:v>0201</x:v>
      </x:c>
      <x:c r="I124" s="16" t="str">
        <x:v>49.9 Ω, 1%, ≥0.05 W</x:v>
      </x:c>
      <x:c r="J124" s="16" t="str">
        <x:v>High / commodity</x:v>
      </x:c>
      <x:c r="K124" s="16" t="str"/>
      <x:c r="L124" s="16" t="str">
        <x:v>Drop-in</x:v>
      </x:c>
      <x:c r="M124" s="16" t="str"/>
      <x:c r="N124" s="113" t="str">
        <x:v>https://www.digikey.com/en/products/result?keywords=ERJ-1GNF49R9C</x:v>
      </x:c>
    </x:row>
    <x:row r="125">
      <x:c r="A125" s="99" t="n">
        <x:v>31</x:v>
      </x:c>
      <x:c r="B125" s="16" t="str">
        <x:v>R18,R19,R21,R22</x:v>
      </x:c>
      <x:c r="C125" s="16" t="n">
        <x:v>4</x:v>
      </x:c>
      <x:c r="D125" s="16" t="str">
        <x:v>Alternative 3</x:v>
      </x:c>
      <x:c r="E125" s="16" t="str">
        <x:v>Vishay</x:v>
      </x:c>
      <x:c r="F125" s="16" t="str">
        <x:v>CRCW020149R9FKED</x:v>
      </x:c>
      <x:c r="G125" s="16" t="str"/>
      <x:c r="H125" s="16" t="str">
        <x:v>0201</x:v>
      </x:c>
      <x:c r="I125" s="16" t="str">
        <x:v>49.9 Ω, 1%, ≥0.05 W</x:v>
      </x:c>
      <x:c r="J125" s="16" t="str">
        <x:v>High / commodity</x:v>
      </x:c>
      <x:c r="K125" s="16" t="str"/>
      <x:c r="L125" s="16" t="str">
        <x:v>Drop-in</x:v>
      </x:c>
      <x:c r="M125" s="16" t="str"/>
      <x:c r="N125" s="113" t="str">
        <x:v>https://www.digikey.com/en/products/result?keywords=CRCW020149R9FKED</x:v>
      </x:c>
    </x:row>
    <x:row r="126">
      <x:c r="A126" s="99" t="n">
        <x:v>32</x:v>
      </x:c>
      <x:c r="B126" s="16" t="str">
        <x:v>R20</x:v>
      </x:c>
      <x:c r="C126" s="16" t="n">
        <x:v>1</x:v>
      </x:c>
      <x:c r="D126" s="16" t="str">
        <x:v>Primary</x:v>
      </x:c>
      <x:c r="E126" s="16" t="str">
        <x:v>UniOhm/Uniohm</x:v>
      </x:c>
      <x:c r="F126" s="16" t="str">
        <x:v>0201WMF100JTCE</x:v>
      </x:c>
      <x:c r="G126" s="16" t="str"/>
      <x:c r="H126" s="16" t="str">
        <x:v>0201</x:v>
      </x:c>
      <x:c r="I126" s="16" t="str">
        <x:v>10 Ω, 1%, ≥0.05 W</x:v>
      </x:c>
      <x:c r="J126" s="16" t="str">
        <x:v>Very high / commodity</x:v>
      </x:c>
      <x:c r="K126" s="16" t="str">
        <x:v>&lt;$0.01 typical</x:v>
      </x:c>
      <x:c r="L126" s="16" t="str">
        <x:v>Drop-in</x:v>
      </x:c>
      <x:c r="M126" s="16" t="str"/>
      <x:c r="N126" s="113" t="str">
        <x:v>https://www.lcsc.com/search?q=0201WMF100JTCE</x:v>
      </x:c>
    </x:row>
    <x:row r="127">
      <x:c r="A127" s="99" t="n">
        <x:v>32</x:v>
      </x:c>
      <x:c r="B127" s="16" t="str">
        <x:v>R20</x:v>
      </x:c>
      <x:c r="C127" s="16" t="n">
        <x:v>2</x:v>
      </x:c>
      <x:c r="D127" s="16" t="str">
        <x:v>Alternative 1</x:v>
      </x:c>
      <x:c r="E127" s="16" t="str">
        <x:v>Yageo</x:v>
      </x:c>
      <x:c r="F127" s="16" t="str">
        <x:v>RC0201FR-0710RL</x:v>
      </x:c>
      <x:c r="G127" s="16" t="str"/>
      <x:c r="H127" s="16" t="str">
        <x:v>0201</x:v>
      </x:c>
      <x:c r="I127" s="16" t="str">
        <x:v>10 Ω, 1%, ≥0.05 W</x:v>
      </x:c>
      <x:c r="J127" s="16" t="str">
        <x:v>High / commodity</x:v>
      </x:c>
      <x:c r="K127" s="16" t="str"/>
      <x:c r="L127" s="16" t="str">
        <x:v>Drop-in</x:v>
      </x:c>
      <x:c r="M127" s="16" t="str"/>
      <x:c r="N127" s="113" t="str">
        <x:v>https://www.digikey.com/en/products/result?keywords=RC0201FR-0710RL</x:v>
      </x:c>
    </x:row>
    <x:row r="128">
      <x:c r="A128" s="99" t="n">
        <x:v>32</x:v>
      </x:c>
      <x:c r="B128" s="16" t="str">
        <x:v>R20</x:v>
      </x:c>
      <x:c r="C128" s="16" t="n">
        <x:v>3</x:v>
      </x:c>
      <x:c r="D128" s="16" t="str">
        <x:v>Alternative 2</x:v>
      </x:c>
      <x:c r="E128" s="16" t="str">
        <x:v>Panasonic</x:v>
      </x:c>
      <x:c r="F128" s="16" t="str">
        <x:v>ERJ-1GNF10R0C</x:v>
      </x:c>
      <x:c r="G128" s="16" t="str"/>
      <x:c r="H128" s="16" t="str">
        <x:v>0201</x:v>
      </x:c>
      <x:c r="I128" s="16" t="str">
        <x:v>10 Ω, 1%, ≥0.05 W</x:v>
      </x:c>
      <x:c r="J128" s="16" t="str">
        <x:v>High / commodity</x:v>
      </x:c>
      <x:c r="K128" s="16" t="str"/>
      <x:c r="L128" s="16" t="str">
        <x:v>Drop-in</x:v>
      </x:c>
      <x:c r="M128" s="16" t="str"/>
      <x:c r="N128" s="113" t="str">
        <x:v>https://www.digikey.com/en/products/result?keywords=ERJ-1GNF10R0C</x:v>
      </x:c>
    </x:row>
    <x:row r="129">
      <x:c r="A129" s="99" t="n">
        <x:v>32</x:v>
      </x:c>
      <x:c r="B129" s="16" t="str">
        <x:v>R20</x:v>
      </x:c>
      <x:c r="C129" s="16" t="n">
        <x:v>4</x:v>
      </x:c>
      <x:c r="D129" s="16" t="str">
        <x:v>Alternative 3</x:v>
      </x:c>
      <x:c r="E129" s="16" t="str">
        <x:v>Vishay</x:v>
      </x:c>
      <x:c r="F129" s="16" t="str">
        <x:v>CRCW020110R0FKED</x:v>
      </x:c>
      <x:c r="G129" s="16" t="str"/>
      <x:c r="H129" s="16" t="str">
        <x:v>0201</x:v>
      </x:c>
      <x:c r="I129" s="16" t="str">
        <x:v>10 Ω, 1%, ≥0.05 W</x:v>
      </x:c>
      <x:c r="J129" s="16" t="str">
        <x:v>High / commodity</x:v>
      </x:c>
      <x:c r="K129" s="16" t="str"/>
      <x:c r="L129" s="16" t="str">
        <x:v>Drop-in</x:v>
      </x:c>
      <x:c r="M129" s="16" t="str"/>
      <x:c r="N129" s="113" t="str">
        <x:v>https://www.digikey.com/en/products/result?keywords=CRCW020110R0FKED</x:v>
      </x:c>
    </x:row>
    <x:row r="130">
      <x:c r="A130" s="99" t="n">
        <x:v>33</x:v>
      </x:c>
      <x:c r="B130" s="16" t="str">
        <x:v>R23</x:v>
      </x:c>
      <x:c r="C130" s="16" t="n">
        <x:v>1</x:v>
      </x:c>
      <x:c r="D130" s="16" t="str">
        <x:v>Primary</x:v>
      </x:c>
      <x:c r="E130" s="16" t="str">
        <x:v>UniOhm/Uniohm</x:v>
      </x:c>
      <x:c r="F130" s="16" t="str">
        <x:v>0402WGJ0000TCE</x:v>
      </x:c>
      <x:c r="G130" s="16" t="str"/>
      <x:c r="H130" s="16" t="str">
        <x:v>0402</x:v>
      </x:c>
      <x:c r="I130" s="16" t="str">
        <x:v>0 Ω jumper, ≥0.063 W</x:v>
      </x:c>
      <x:c r="J130" s="16" t="str">
        <x:v>Very high / commodity</x:v>
      </x:c>
      <x:c r="K130" s="16" t="str">
        <x:v>&lt;$0.01 typical</x:v>
      </x:c>
      <x:c r="L130" s="16" t="str">
        <x:v>Drop-in</x:v>
      </x:c>
      <x:c r="M130" s="16" t="str"/>
      <x:c r="N130" s="113" t="str">
        <x:v>https://www.lcsc.com/search?q=0402WGJ0000TCE</x:v>
      </x:c>
    </x:row>
    <x:row r="131">
      <x:c r="A131" s="99" t="n">
        <x:v>33</x:v>
      </x:c>
      <x:c r="B131" s="16" t="str">
        <x:v>R23</x:v>
      </x:c>
      <x:c r="C131" s="16" t="n">
        <x:v>2</x:v>
      </x:c>
      <x:c r="D131" s="16" t="str">
        <x:v>Alternative 1</x:v>
      </x:c>
      <x:c r="E131" s="16" t="str">
        <x:v>Yageo</x:v>
      </x:c>
      <x:c r="F131" s="16" t="str">
        <x:v>RC0402JR-070RL</x:v>
      </x:c>
      <x:c r="G131" s="16" t="str"/>
      <x:c r="H131" s="16" t="str">
        <x:v>0402</x:v>
      </x:c>
      <x:c r="I131" s="16" t="str">
        <x:v>0 Ω jumper, ≥0.063 W</x:v>
      </x:c>
      <x:c r="J131" s="16" t="str">
        <x:v>High / commodity</x:v>
      </x:c>
      <x:c r="K131" s="16" t="str"/>
      <x:c r="L131" s="16" t="str">
        <x:v>Drop-in</x:v>
      </x:c>
      <x:c r="M131" s="16" t="str"/>
      <x:c r="N131" s="113" t="str">
        <x:v>https://www.digikey.com/en/products/result?keywords=RC0402JR-070RL</x:v>
      </x:c>
    </x:row>
    <x:row r="132">
      <x:c r="A132" s="99" t="n">
        <x:v>33</x:v>
      </x:c>
      <x:c r="B132" s="16" t="str">
        <x:v>R23</x:v>
      </x:c>
      <x:c r="C132" s="16" t="n">
        <x:v>3</x:v>
      </x:c>
      <x:c r="D132" s="16" t="str">
        <x:v>Alternative 2</x:v>
      </x:c>
      <x:c r="E132" s="16" t="str">
        <x:v>Panasonic</x:v>
      </x:c>
      <x:c r="F132" s="16" t="str">
        <x:v>ERJ-2GE0R00X</x:v>
      </x:c>
      <x:c r="G132" s="16" t="str"/>
      <x:c r="H132" s="16" t="str">
        <x:v>0402</x:v>
      </x:c>
      <x:c r="I132" s="16" t="str">
        <x:v>0 Ω jumper, ≥0.063 W</x:v>
      </x:c>
      <x:c r="J132" s="16" t="str">
        <x:v>High / commodity</x:v>
      </x:c>
      <x:c r="K132" s="16" t="str"/>
      <x:c r="L132" s="16" t="str">
        <x:v>Drop-in</x:v>
      </x:c>
      <x:c r="M132" s="16" t="str"/>
      <x:c r="N132" s="113" t="str">
        <x:v>https://www.digikey.com/en/products/result?keywords=ERJ-2GE0R00X</x:v>
      </x:c>
    </x:row>
    <x:row r="133">
      <x:c r="A133" s="99" t="n">
        <x:v>33</x:v>
      </x:c>
      <x:c r="B133" s="16" t="str">
        <x:v>R23</x:v>
      </x:c>
      <x:c r="C133" s="16" t="n">
        <x:v>4</x:v>
      </x:c>
      <x:c r="D133" s="16" t="str">
        <x:v>Alternative 3</x:v>
      </x:c>
      <x:c r="E133" s="16" t="str">
        <x:v>Vishay</x:v>
      </x:c>
      <x:c r="F133" s="16" t="str">
        <x:v>CRCW04020000Z0ED</x:v>
      </x:c>
      <x:c r="G133" s="16" t="str"/>
      <x:c r="H133" s="16" t="str">
        <x:v>0402</x:v>
      </x:c>
      <x:c r="I133" s="16" t="str">
        <x:v>0 Ω jumper, ≥0.063 W</x:v>
      </x:c>
      <x:c r="J133" s="16" t="str">
        <x:v>High / commodity</x:v>
      </x:c>
      <x:c r="K133" s="16" t="str"/>
      <x:c r="L133" s="16" t="str">
        <x:v>Drop-in</x:v>
      </x:c>
      <x:c r="M133" s="16" t="str"/>
      <x:c r="N133" s="113" t="str">
        <x:v>https://www.digikey.com/en/products/result?keywords=CRCW04020000Z0ED</x:v>
      </x:c>
    </x:row>
    <x:row r="134">
      <x:c r="A134" s="99" t="n">
        <x:v>34</x:v>
      </x:c>
      <x:c r="B134" s="16" t="str">
        <x:v>R24</x:v>
      </x:c>
      <x:c r="C134" s="16" t="n">
        <x:v>1</x:v>
      </x:c>
      <x:c r="D134" s="16" t="str">
        <x:v>Primary</x:v>
      </x:c>
      <x:c r="E134" s="16" t="str">
        <x:v>UniOhm/Uniohm</x:v>
      </x:c>
      <x:c r="F134" s="16" t="str">
        <x:v>0402WGF1004TCE</x:v>
      </x:c>
      <x:c r="G134" s="16" t="str"/>
      <x:c r="H134" s="16" t="str">
        <x:v>0402</x:v>
      </x:c>
      <x:c r="I134" s="16" t="str">
        <x:v>1 MΩ, 1%, ≥0.063 W</x:v>
      </x:c>
      <x:c r="J134" s="16" t="str">
        <x:v>Very high / commodity</x:v>
      </x:c>
      <x:c r="K134" s="16" t="str">
        <x:v>&lt;$0.01 typical</x:v>
      </x:c>
      <x:c r="L134" s="16" t="str">
        <x:v>Drop-in</x:v>
      </x:c>
      <x:c r="M134" s="16" t="str"/>
      <x:c r="N134" s="113" t="str">
        <x:v>https://www.lcsc.com/search?q=0402WGF1004TCE</x:v>
      </x:c>
    </x:row>
    <x:row r="135">
      <x:c r="A135" s="99" t="n">
        <x:v>34</x:v>
      </x:c>
      <x:c r="B135" s="16" t="str">
        <x:v>R24</x:v>
      </x:c>
      <x:c r="C135" s="16" t="n">
        <x:v>2</x:v>
      </x:c>
      <x:c r="D135" s="16" t="str">
        <x:v>Alternative 1</x:v>
      </x:c>
      <x:c r="E135" s="16" t="str">
        <x:v>Yageo</x:v>
      </x:c>
      <x:c r="F135" s="16" t="str">
        <x:v>RC0402FR-071ML</x:v>
      </x:c>
      <x:c r="G135" s="16" t="str"/>
      <x:c r="H135" s="16" t="str">
        <x:v>0402</x:v>
      </x:c>
      <x:c r="I135" s="16" t="str">
        <x:v>1 MΩ, 1%, ≥0.063 W</x:v>
      </x:c>
      <x:c r="J135" s="16" t="str">
        <x:v>High / commodity</x:v>
      </x:c>
      <x:c r="K135" s="16" t="str"/>
      <x:c r="L135" s="16" t="str">
        <x:v>Drop-in</x:v>
      </x:c>
      <x:c r="M135" s="16" t="str"/>
      <x:c r="N135" s="113" t="str">
        <x:v>https://www.digikey.com/en/products/result?keywords=RC0402FR-071ML</x:v>
      </x:c>
    </x:row>
    <x:row r="136">
      <x:c r="A136" s="99" t="n">
        <x:v>34</x:v>
      </x:c>
      <x:c r="B136" s="16" t="str">
        <x:v>R24</x:v>
      </x:c>
      <x:c r="C136" s="16" t="n">
        <x:v>3</x:v>
      </x:c>
      <x:c r="D136" s="16" t="str">
        <x:v>Alternative 2</x:v>
      </x:c>
      <x:c r="E136" s="16" t="str">
        <x:v>Panasonic</x:v>
      </x:c>
      <x:c r="F136" s="16" t="str">
        <x:v>ERJ-2RKF1004X</x:v>
      </x:c>
      <x:c r="G136" s="16" t="str"/>
      <x:c r="H136" s="16" t="str">
        <x:v>0402</x:v>
      </x:c>
      <x:c r="I136" s="16" t="str">
        <x:v>1 MΩ, 1%, ≥0.063 W</x:v>
      </x:c>
      <x:c r="J136" s="16" t="str">
        <x:v>High / commodity</x:v>
      </x:c>
      <x:c r="K136" s="16" t="str"/>
      <x:c r="L136" s="16" t="str">
        <x:v>Drop-in</x:v>
      </x:c>
      <x:c r="M136" s="16" t="str"/>
      <x:c r="N136" s="113" t="str">
        <x:v>https://www.digikey.com/en/products/result?keywords=ERJ-2RKF1004X</x:v>
      </x:c>
    </x:row>
    <x:row r="137">
      <x:c r="A137" s="99" t="n">
        <x:v>34</x:v>
      </x:c>
      <x:c r="B137" s="16" t="str">
        <x:v>R24</x:v>
      </x:c>
      <x:c r="C137" s="16" t="n">
        <x:v>4</x:v>
      </x:c>
      <x:c r="D137" s="16" t="str">
        <x:v>Alternative 3</x:v>
      </x:c>
      <x:c r="E137" s="16" t="str">
        <x:v>Vishay</x:v>
      </x:c>
      <x:c r="F137" s="16" t="str">
        <x:v>CRCW04021M00FKED</x:v>
      </x:c>
      <x:c r="G137" s="16" t="str"/>
      <x:c r="H137" s="16" t="str">
        <x:v>0402</x:v>
      </x:c>
      <x:c r="I137" s="16" t="str">
        <x:v>1 MΩ, 1%, ≥0.063 W</x:v>
      </x:c>
      <x:c r="J137" s="16" t="str">
        <x:v>High / commodity</x:v>
      </x:c>
      <x:c r="K137" s="16" t="str"/>
      <x:c r="L137" s="16" t="str">
        <x:v>Drop-in</x:v>
      </x:c>
      <x:c r="M137" s="16" t="str"/>
      <x:c r="N137" s="113" t="str">
        <x:v>https://www.digikey.com/en/products/result?keywords=CRCW04021M00FKED</x:v>
      </x:c>
    </x:row>
    <x:row r="138">
      <x:c r="A138" s="99" t="n">
        <x:v>35</x:v>
      </x:c>
      <x:c r="B138" s="16" t="str">
        <x:v>R25</x:v>
      </x:c>
      <x:c r="C138" s="16" t="n">
        <x:v>1</x:v>
      </x:c>
      <x:c r="D138" s="16" t="str">
        <x:v>Primary</x:v>
      </x:c>
      <x:c r="E138" s="16" t="str">
        <x:v>UniOhm/Uniohm</x:v>
      </x:c>
      <x:c r="F138" s="16" t="str">
        <x:v>0603WAF1002T5E</x:v>
      </x:c>
      <x:c r="G138" s="16" t="str"/>
      <x:c r="H138" s="16" t="str">
        <x:v>0603</x:v>
      </x:c>
      <x:c r="I138" s="16" t="str">
        <x:v>10 kΩ, 1%, ≥0.1 W</x:v>
      </x:c>
      <x:c r="J138" s="16" t="str">
        <x:v>Very high / commodity</x:v>
      </x:c>
      <x:c r="K138" s="16" t="str">
        <x:v>&lt;$0.01 typical</x:v>
      </x:c>
      <x:c r="L138" s="16" t="str">
        <x:v>Drop-in</x:v>
      </x:c>
      <x:c r="M138" s="16" t="str"/>
      <x:c r="N138" s="113" t="str">
        <x:v>https://www.lcsc.com/search?q=0603WAF1002T5E</x:v>
      </x:c>
    </x:row>
    <x:row r="139">
      <x:c r="A139" s="99" t="n">
        <x:v>35</x:v>
      </x:c>
      <x:c r="B139" s="16" t="str">
        <x:v>R25</x:v>
      </x:c>
      <x:c r="C139" s="16" t="n">
        <x:v>2</x:v>
      </x:c>
      <x:c r="D139" s="16" t="str">
        <x:v>Alternative 1</x:v>
      </x:c>
      <x:c r="E139" s="16" t="str">
        <x:v>Yageo</x:v>
      </x:c>
      <x:c r="F139" s="16" t="str">
        <x:v>RC0603FR-0710KL</x:v>
      </x:c>
      <x:c r="G139" s="16" t="str"/>
      <x:c r="H139" s="16" t="str">
        <x:v>0603</x:v>
      </x:c>
      <x:c r="I139" s="16" t="str">
        <x:v>10 kΩ, 1%, ≥0.1 W</x:v>
      </x:c>
      <x:c r="J139" s="16" t="str">
        <x:v>High / commodity</x:v>
      </x:c>
      <x:c r="K139" s="16" t="str"/>
      <x:c r="L139" s="16" t="str">
        <x:v>Drop-in</x:v>
      </x:c>
      <x:c r="M139" s="16" t="str"/>
      <x:c r="N139" s="113" t="str">
        <x:v>https://www.digikey.com/en/products/result?keywords=RC0603FR-0710KL</x:v>
      </x:c>
    </x:row>
    <x:row r="140">
      <x:c r="A140" s="99" t="n">
        <x:v>35</x:v>
      </x:c>
      <x:c r="B140" s="16" t="str">
        <x:v>R25</x:v>
      </x:c>
      <x:c r="C140" s="16" t="n">
        <x:v>3</x:v>
      </x:c>
      <x:c r="D140" s="16" t="str">
        <x:v>Alternative 2</x:v>
      </x:c>
      <x:c r="E140" s="16" t="str">
        <x:v>Panasonic</x:v>
      </x:c>
      <x:c r="F140" s="16" t="str">
        <x:v>ERJ-3EKF1002V</x:v>
      </x:c>
      <x:c r="G140" s="16" t="str"/>
      <x:c r="H140" s="16" t="str">
        <x:v>0603</x:v>
      </x:c>
      <x:c r="I140" s="16" t="str">
        <x:v>10 kΩ, 1%, ≥0.1 W</x:v>
      </x:c>
      <x:c r="J140" s="16" t="str">
        <x:v>High / commodity</x:v>
      </x:c>
      <x:c r="K140" s="16" t="str"/>
      <x:c r="L140" s="16" t="str">
        <x:v>Drop-in</x:v>
      </x:c>
      <x:c r="M140" s="16" t="str"/>
      <x:c r="N140" s="113" t="str">
        <x:v>https://www.digikey.com/en/products/result?keywords=ERJ-3EKF1002V</x:v>
      </x:c>
    </x:row>
    <x:row r="141">
      <x:c r="A141" s="99" t="n">
        <x:v>35</x:v>
      </x:c>
      <x:c r="B141" s="16" t="str">
        <x:v>R25</x:v>
      </x:c>
      <x:c r="C141" s="16" t="n">
        <x:v>4</x:v>
      </x:c>
      <x:c r="D141" s="16" t="str">
        <x:v>Alternative 3</x:v>
      </x:c>
      <x:c r="E141" s="16" t="str">
        <x:v>Vishay</x:v>
      </x:c>
      <x:c r="F141" s="16" t="str">
        <x:v>CRCW060310K0FKEA</x:v>
      </x:c>
      <x:c r="G141" s="16" t="str"/>
      <x:c r="H141" s="16" t="str">
        <x:v>0603</x:v>
      </x:c>
      <x:c r="I141" s="16" t="str">
        <x:v>10 kΩ, 1%, ≥0.1 W</x:v>
      </x:c>
      <x:c r="J141" s="16" t="str">
        <x:v>High / commodity</x:v>
      </x:c>
      <x:c r="K141" s="16" t="str"/>
      <x:c r="L141" s="16" t="str">
        <x:v>Drop-in</x:v>
      </x:c>
      <x:c r="M141" s="16" t="str"/>
      <x:c r="N141" s="113" t="str">
        <x:v>https://www.digikey.com/en/products/result?keywords=CRCW060310K0FKEA</x:v>
      </x:c>
    </x:row>
    <x:row r="142">
      <x:c r="A142" s="99" t="n">
        <x:v>36</x:v>
      </x:c>
      <x:c r="B142" s="16" t="str">
        <x:v>R26</x:v>
      </x:c>
      <x:c r="C142" s="16" t="n">
        <x:v>1</x:v>
      </x:c>
      <x:c r="D142" s="16" t="str">
        <x:v>Primary</x:v>
      </x:c>
      <x:c r="E142" s="16" t="str">
        <x:v>UniOhm/Uniohm</x:v>
      </x:c>
      <x:c r="F142" s="16" t="str">
        <x:v>0402WGF1002TCE</x:v>
      </x:c>
      <x:c r="G142" s="16" t="str"/>
      <x:c r="H142" s="16" t="str">
        <x:v>0402</x:v>
      </x:c>
      <x:c r="I142" s="16" t="str">
        <x:v>10 kΩ, 1%, ≥0.063 W</x:v>
      </x:c>
      <x:c r="J142" s="16" t="str">
        <x:v>Very high / commodity</x:v>
      </x:c>
      <x:c r="K142" s="16" t="str">
        <x:v>&lt;$0.01 typical</x:v>
      </x:c>
      <x:c r="L142" s="16" t="str">
        <x:v>Drop-in</x:v>
      </x:c>
      <x:c r="M142" s="16" t="str"/>
      <x:c r="N142" s="113" t="str">
        <x:v>https://www.lcsc.com/search?q=0402WGF1002TCE</x:v>
      </x:c>
    </x:row>
    <x:row r="143">
      <x:c r="A143" s="99" t="n">
        <x:v>36</x:v>
      </x:c>
      <x:c r="B143" s="16" t="str">
        <x:v>R26</x:v>
      </x:c>
      <x:c r="C143" s="16" t="n">
        <x:v>2</x:v>
      </x:c>
      <x:c r="D143" s="16" t="str">
        <x:v>Alternative 1</x:v>
      </x:c>
      <x:c r="E143" s="16" t="str">
        <x:v>Yageo</x:v>
      </x:c>
      <x:c r="F143" s="16" t="str">
        <x:v>RC0402FR-0710KL</x:v>
      </x:c>
      <x:c r="G143" s="16" t="str"/>
      <x:c r="H143" s="16" t="str">
        <x:v>0402</x:v>
      </x:c>
      <x:c r="I143" s="16" t="str">
        <x:v>10 kΩ, 1%, ≥0.063 W</x:v>
      </x:c>
      <x:c r="J143" s="16" t="str">
        <x:v>High / commodity</x:v>
      </x:c>
      <x:c r="K143" s="16" t="str"/>
      <x:c r="L143" s="16" t="str">
        <x:v>Drop-in</x:v>
      </x:c>
      <x:c r="M143" s="16" t="str"/>
      <x:c r="N143" s="113" t="str">
        <x:v>https://www.digikey.com/en/products/result?keywords=RC0402FR-0710KL</x:v>
      </x:c>
    </x:row>
    <x:row r="144">
      <x:c r="A144" s="99" t="n">
        <x:v>36</x:v>
      </x:c>
      <x:c r="B144" s="16" t="str">
        <x:v>R26</x:v>
      </x:c>
      <x:c r="C144" s="16" t="n">
        <x:v>3</x:v>
      </x:c>
      <x:c r="D144" s="16" t="str">
        <x:v>Alternative 2</x:v>
      </x:c>
      <x:c r="E144" s="16" t="str">
        <x:v>Panasonic</x:v>
      </x:c>
      <x:c r="F144" s="16" t="str">
        <x:v>ERJ-2RKF1002X</x:v>
      </x:c>
      <x:c r="G144" s="16" t="str"/>
      <x:c r="H144" s="16" t="str">
        <x:v>0402</x:v>
      </x:c>
      <x:c r="I144" s="16" t="str">
        <x:v>10 kΩ, 1%, ≥0.063 W</x:v>
      </x:c>
      <x:c r="J144" s="16" t="str">
        <x:v>High / commodity</x:v>
      </x:c>
      <x:c r="K144" s="16" t="str"/>
      <x:c r="L144" s="16" t="str">
        <x:v>Drop-in</x:v>
      </x:c>
      <x:c r="M144" s="16" t="str"/>
      <x:c r="N144" s="113" t="str">
        <x:v>https://www.digikey.com/en/products/result?keywords=ERJ-2RKF1002X</x:v>
      </x:c>
    </x:row>
    <x:row r="145">
      <x:c r="A145" s="99" t="n">
        <x:v>36</x:v>
      </x:c>
      <x:c r="B145" s="16" t="str">
        <x:v>R26</x:v>
      </x:c>
      <x:c r="C145" s="16" t="n">
        <x:v>4</x:v>
      </x:c>
      <x:c r="D145" s="16" t="str">
        <x:v>Alternative 3</x:v>
      </x:c>
      <x:c r="E145" s="16" t="str">
        <x:v>Vishay</x:v>
      </x:c>
      <x:c r="F145" s="16" t="str">
        <x:v>CRCW040210K0FKED</x:v>
      </x:c>
      <x:c r="G145" s="16" t="str"/>
      <x:c r="H145" s="16" t="str">
        <x:v>0402</x:v>
      </x:c>
      <x:c r="I145" s="16" t="str">
        <x:v>10 kΩ, 1%, ≥0.063 W</x:v>
      </x:c>
      <x:c r="J145" s="16" t="str">
        <x:v>High / commodity</x:v>
      </x:c>
      <x:c r="K145" s="16" t="str"/>
      <x:c r="L145" s="16" t="str">
        <x:v>Drop-in</x:v>
      </x:c>
      <x:c r="M145" s="16" t="str"/>
      <x:c r="N145" s="113" t="str">
        <x:v>https://www.digikey.com/en/products/result?keywords=CRCW040210K0FKED</x:v>
      </x:c>
    </x:row>
    <x:row r="146">
      <x:c r="A146" s="99" t="n">
        <x:v>37</x:v>
      </x:c>
      <x:c r="B146" s="16" t="str">
        <x:v>R28</x:v>
      </x:c>
      <x:c r="C146" s="16" t="n">
        <x:v>1</x:v>
      </x:c>
      <x:c r="D146" s="16" t="str">
        <x:v>Primary</x:v>
      </x:c>
      <x:c r="E146" s="16" t="str">
        <x:v>UniOhm/Uniohm</x:v>
      </x:c>
      <x:c r="F146" s="16" t="str">
        <x:v>0603WAF1003T5E</x:v>
      </x:c>
      <x:c r="G146" s="16" t="str"/>
      <x:c r="H146" s="16" t="str">
        <x:v>0603</x:v>
      </x:c>
      <x:c r="I146" s="16" t="str">
        <x:v>100 kΩ, 1%, ≥0.1 W</x:v>
      </x:c>
      <x:c r="J146" s="16" t="str">
        <x:v>Very high / commodity</x:v>
      </x:c>
      <x:c r="K146" s="16" t="str">
        <x:v>&lt;$0.01 typical</x:v>
      </x:c>
      <x:c r="L146" s="16" t="str">
        <x:v>Drop-in</x:v>
      </x:c>
      <x:c r="M146" s="16" t="str"/>
      <x:c r="N146" s="113" t="str">
        <x:v>https://www.lcsc.com/search?q=0603WAF1003T5E</x:v>
      </x:c>
    </x:row>
    <x:row r="147">
      <x:c r="A147" s="99" t="n">
        <x:v>37</x:v>
      </x:c>
      <x:c r="B147" s="16" t="str">
        <x:v>R28</x:v>
      </x:c>
      <x:c r="C147" s="16" t="n">
        <x:v>2</x:v>
      </x:c>
      <x:c r="D147" s="16" t="str">
        <x:v>Alternative 1</x:v>
      </x:c>
      <x:c r="E147" s="16" t="str">
        <x:v>Yageo</x:v>
      </x:c>
      <x:c r="F147" s="16" t="str">
        <x:v>RC0603FR-07100KL</x:v>
      </x:c>
      <x:c r="G147" s="16" t="str"/>
      <x:c r="H147" s="16" t="str">
        <x:v>0603</x:v>
      </x:c>
      <x:c r="I147" s="16" t="str">
        <x:v>100 kΩ, 1%, ≥0.1 W</x:v>
      </x:c>
      <x:c r="J147" s="16" t="str">
        <x:v>High / commodity</x:v>
      </x:c>
      <x:c r="K147" s="16" t="str"/>
      <x:c r="L147" s="16" t="str">
        <x:v>Drop-in</x:v>
      </x:c>
      <x:c r="M147" s="16" t="str"/>
      <x:c r="N147" s="113" t="str">
        <x:v>https://www.digikey.com/en/products/result?keywords=RC0603FR-07100KL</x:v>
      </x:c>
    </x:row>
    <x:row r="148">
      <x:c r="A148" s="99" t="n">
        <x:v>37</x:v>
      </x:c>
      <x:c r="B148" s="16" t="str">
        <x:v>R28</x:v>
      </x:c>
      <x:c r="C148" s="16" t="n">
        <x:v>3</x:v>
      </x:c>
      <x:c r="D148" s="16" t="str">
        <x:v>Alternative 2</x:v>
      </x:c>
      <x:c r="E148" s="16" t="str">
        <x:v>Panasonic</x:v>
      </x:c>
      <x:c r="F148" s="16" t="str">
        <x:v>ERJ-3EKF1003V</x:v>
      </x:c>
      <x:c r="G148" s="16" t="str"/>
      <x:c r="H148" s="16" t="str">
        <x:v>0603</x:v>
      </x:c>
      <x:c r="I148" s="16" t="str">
        <x:v>100 kΩ, 1%, ≥0.1 W</x:v>
      </x:c>
      <x:c r="J148" s="16" t="str">
        <x:v>High / commodity</x:v>
      </x:c>
      <x:c r="K148" s="16" t="str"/>
      <x:c r="L148" s="16" t="str">
        <x:v>Drop-in</x:v>
      </x:c>
      <x:c r="M148" s="16" t="str"/>
      <x:c r="N148" s="113" t="str">
        <x:v>https://www.digikey.com/en/products/result?keywords=ERJ-3EKF1003V</x:v>
      </x:c>
    </x:row>
    <x:row r="149">
      <x:c r="A149" s="99" t="n">
        <x:v>37</x:v>
      </x:c>
      <x:c r="B149" s="16" t="str">
        <x:v>R28</x:v>
      </x:c>
      <x:c r="C149" s="16" t="n">
        <x:v>4</x:v>
      </x:c>
      <x:c r="D149" s="16" t="str">
        <x:v>Alternative 3</x:v>
      </x:c>
      <x:c r="E149" s="16" t="str">
        <x:v>Vishay</x:v>
      </x:c>
      <x:c r="F149" s="16" t="str">
        <x:v>CRCW0603100KFKEA</x:v>
      </x:c>
      <x:c r="G149" s="16" t="str"/>
      <x:c r="H149" s="16" t="str">
        <x:v>0603</x:v>
      </x:c>
      <x:c r="I149" s="16" t="str">
        <x:v>100 kΩ, 1%, ≥0.1 W</x:v>
      </x:c>
      <x:c r="J149" s="16" t="str">
        <x:v>High / commodity</x:v>
      </x:c>
      <x:c r="K149" s="16" t="str"/>
      <x:c r="L149" s="16" t="str">
        <x:v>Drop-in</x:v>
      </x:c>
      <x:c r="M149" s="16" t="str"/>
      <x:c r="N149" s="113" t="str">
        <x:v>https://www.digikey.com/en/products/result?keywords=CRCW0603100KFKEA</x:v>
      </x:c>
    </x:row>
    <x:row r="150">
      <x:c r="A150" s="99" t="n">
        <x:v>38</x:v>
      </x:c>
      <x:c r="B150" s="16" t="str">
        <x:v>SW5</x:v>
      </x:c>
      <x:c r="C150" s="16" t="n">
        <x:v>1</x:v>
      </x:c>
      <x:c r="D150" s="16" t="str">
        <x:v>Primary</x:v>
      </x:c>
      <x:c r="E150" s="16" t="str">
        <x:v>Omron</x:v>
      </x:c>
      <x:c r="F150" s="16" t="str">
        <x:v>B3F-1000</x:v>
      </x:c>
      <x:c r="G150" s="16" t="str"/>
      <x:c r="H150" s="16" t="str">
        <x:v>6 x 6 mm THT tactile</x:v>
      </x:c>
      <x:c r="I150" s="16" t="str">
        <x:v>Momentary NO, 4.3 mm body height</x:v>
      </x:c>
      <x:c r="J150" s="16" t="str">
        <x:v>Very high</x:v>
      </x:c>
      <x:c r="K150" s="16" t="str"/>
      <x:c r="L150" s="16" t="str">
        <x:v>Matches common SW_PUSH_6mm footprint; verify height</x:v>
      </x:c>
      <x:c r="M150" s="16" t="str"/>
      <x:c r="N150" s="113" t="str">
        <x:v>https://www.digikey.com/en/products/result?keywords=B3F-1000</x:v>
      </x:c>
    </x:row>
    <x:row r="151">
      <x:c r="A151" s="99" t="n">
        <x:v>38</x:v>
      </x:c>
      <x:c r="B151" s="16" t="str">
        <x:v>SW5</x:v>
      </x:c>
      <x:c r="C151" s="16" t="n">
        <x:v>2</x:v>
      </x:c>
      <x:c r="D151" s="16" t="str">
        <x:v>Alternative 1</x:v>
      </x:c>
      <x:c r="E151" s="16" t="str">
        <x:v>Omron</x:v>
      </x:c>
      <x:c r="F151" s="16" t="str">
        <x:v>B3F-1020</x:v>
      </x:c>
      <x:c r="G151" s="16" t="str"/>
      <x:c r="H151" s="16" t="str">
        <x:v>6 x 6 mm THT tactile</x:v>
      </x:c>
      <x:c r="I151" s="16" t="str">
        <x:v>Momentary NO, taller actuator</x:v>
      </x:c>
      <x:c r="J151" s="16" t="str">
        <x:v>Very high</x:v>
      </x:c>
      <x:c r="K151" s="16" t="str"/>
      <x:c r="L151" s="16" t="str">
        <x:v>Drop-in pads; verify height</x:v>
      </x:c>
      <x:c r="M151" s="16" t="str"/>
      <x:c r="N151" s="113" t="str">
        <x:v>https://www.digikey.com/en/products/result?keywords=B3F-1020</x:v>
      </x:c>
    </x:row>
    <x:row r="152">
      <x:c r="A152" s="99" t="n">
        <x:v>38</x:v>
      </x:c>
      <x:c r="B152" s="16" t="str">
        <x:v>SW5</x:v>
      </x:c>
      <x:c r="C152" s="16" t="n">
        <x:v>3</x:v>
      </x:c>
      <x:c r="D152" s="16" t="str">
        <x:v>Alternative 2</x:v>
      </x:c>
      <x:c r="E152" s="16" t="str">
        <x:v>E-Switch</x:v>
      </x:c>
      <x:c r="F152" s="16" t="str">
        <x:v>TL1105SPF250QG</x:v>
      </x:c>
      <x:c r="G152" s="16" t="str"/>
      <x:c r="H152" s="16" t="str">
        <x:v>6 x 6 mm THT tactile</x:v>
      </x:c>
      <x:c r="I152" s="16" t="str">
        <x:v>Momentary NO, 5 mm class actuator</x:v>
      </x:c>
      <x:c r="J152" s="16" t="str">
        <x:v>High</x:v>
      </x:c>
      <x:c r="K152" s="16" t="str"/>
      <x:c r="L152" s="16" t="str">
        <x:v>Verify exact pin spacing/height</x:v>
      </x:c>
      <x:c r="M152" s="16" t="str"/>
      <x:c r="N152" s="113" t="str">
        <x:v>https://www.digikey.com/en/products/result?keywords=TL1105SPF250QG</x:v>
      </x:c>
    </x:row>
    <x:row r="153">
      <x:c r="A153" s="99" t="n">
        <x:v>38</x:v>
      </x:c>
      <x:c r="B153" s="16" t="str">
        <x:v>SW5</x:v>
      </x:c>
      <x:c r="C153" s="16" t="n">
        <x:v>4</x:v>
      </x:c>
      <x:c r="D153" s="16" t="str">
        <x:v>Alternative 3</x:v>
      </x:c>
      <x:c r="E153" s="16" t="str">
        <x:v>C&amp;K</x:v>
      </x:c>
      <x:c r="F153" s="16" t="str">
        <x:v>PTS645SL43SMTR92 LFS</x:v>
      </x:c>
      <x:c r="G153" s="16" t="str"/>
      <x:c r="H153" s="16" t="str">
        <x:v>6 x 6 mm tactile</x:v>
      </x:c>
      <x:c r="I153" s="16" t="str">
        <x:v>Momentary NO</x:v>
      </x:c>
      <x:c r="J153" s="16" t="str">
        <x:v>High</x:v>
      </x:c>
      <x:c r="K153" s="16" t="str"/>
      <x:c r="L153" s="16" t="str">
        <x:v>Package variant may be SMT; verify before order</x:v>
      </x:c>
      <x:c r="M153" s="16" t="str"/>
      <x:c r="N153" s="113" t="str">
        <x:v>https://www.digikey.com/en/products/result?keywords=PTS645SL43SMTR92+LFS</x:v>
      </x:c>
    </x:row>
    <x:row r="154">
      <x:c r="A154" s="99" t="n">
        <x:v>39</x:v>
      </x:c>
      <x:c r="B154" s="16" t="str">
        <x:v>SW6</x:v>
      </x:c>
      <x:c r="C154" s="16" t="n">
        <x:v>1</x:v>
      </x:c>
      <x:c r="D154" s="16" t="str">
        <x:v>Primary</x:v>
      </x:c>
      <x:c r="E154" s="16" t="str">
        <x:v>Omron</x:v>
      </x:c>
      <x:c r="F154" s="16" t="str">
        <x:v>B3F-1000</x:v>
      </x:c>
      <x:c r="G154" s="16" t="str"/>
      <x:c r="H154" s="16" t="str">
        <x:v>6 x 6 mm THT tactile</x:v>
      </x:c>
      <x:c r="I154" s="16" t="str">
        <x:v>Momentary NO, 4.3 mm body height</x:v>
      </x:c>
      <x:c r="J154" s="16" t="str">
        <x:v>Very high</x:v>
      </x:c>
      <x:c r="K154" s="16" t="str"/>
      <x:c r="L154" s="16" t="str">
        <x:v>Matches common SW_PUSH_6mm footprint; verify height</x:v>
      </x:c>
      <x:c r="M154" s="16" t="str"/>
      <x:c r="N154" s="113" t="str">
        <x:v>https://www.digikey.com/en/products/result?keywords=B3F-1000</x:v>
      </x:c>
    </x:row>
    <x:row r="155">
      <x:c r="A155" s="99" t="n">
        <x:v>39</x:v>
      </x:c>
      <x:c r="B155" s="16" t="str">
        <x:v>SW6</x:v>
      </x:c>
      <x:c r="C155" s="16" t="n">
        <x:v>2</x:v>
      </x:c>
      <x:c r="D155" s="16" t="str">
        <x:v>Alternative 1</x:v>
      </x:c>
      <x:c r="E155" s="16" t="str">
        <x:v>Omron</x:v>
      </x:c>
      <x:c r="F155" s="16" t="str">
        <x:v>B3F-1020</x:v>
      </x:c>
      <x:c r="G155" s="16" t="str"/>
      <x:c r="H155" s="16" t="str">
        <x:v>6 x 6 mm THT tactile</x:v>
      </x:c>
      <x:c r="I155" s="16" t="str">
        <x:v>Momentary NO, taller actuator</x:v>
      </x:c>
      <x:c r="J155" s="16" t="str">
        <x:v>Very high</x:v>
      </x:c>
      <x:c r="K155" s="16" t="str"/>
      <x:c r="L155" s="16" t="str">
        <x:v>Drop-in pads; verify height</x:v>
      </x:c>
      <x:c r="M155" s="16" t="str"/>
      <x:c r="N155" s="113" t="str">
        <x:v>https://www.digikey.com/en/products/result?keywords=B3F-1020</x:v>
      </x:c>
    </x:row>
    <x:row r="156">
      <x:c r="A156" s="99" t="n">
        <x:v>39</x:v>
      </x:c>
      <x:c r="B156" s="16" t="str">
        <x:v>SW6</x:v>
      </x:c>
      <x:c r="C156" s="16" t="n">
        <x:v>3</x:v>
      </x:c>
      <x:c r="D156" s="16" t="str">
        <x:v>Alternative 2</x:v>
      </x:c>
      <x:c r="E156" s="16" t="str">
        <x:v>E-Switch</x:v>
      </x:c>
      <x:c r="F156" s="16" t="str">
        <x:v>TL1105SPF250QG</x:v>
      </x:c>
      <x:c r="G156" s="16" t="str"/>
      <x:c r="H156" s="16" t="str">
        <x:v>6 x 6 mm THT tactile</x:v>
      </x:c>
      <x:c r="I156" s="16" t="str">
        <x:v>Momentary NO, 5 mm class actuator</x:v>
      </x:c>
      <x:c r="J156" s="16" t="str">
        <x:v>High</x:v>
      </x:c>
      <x:c r="K156" s="16" t="str"/>
      <x:c r="L156" s="16" t="str">
        <x:v>Verify exact pin spacing/height</x:v>
      </x:c>
      <x:c r="M156" s="16" t="str"/>
      <x:c r="N156" s="113" t="str">
        <x:v>https://www.digikey.com/en/products/result?keywords=TL1105SPF250QG</x:v>
      </x:c>
    </x:row>
    <x:row r="157">
      <x:c r="A157" s="99" t="n">
        <x:v>39</x:v>
      </x:c>
      <x:c r="B157" s="16" t="str">
        <x:v>SW6</x:v>
      </x:c>
      <x:c r="C157" s="16" t="n">
        <x:v>4</x:v>
      </x:c>
      <x:c r="D157" s="16" t="str">
        <x:v>Alternative 3</x:v>
      </x:c>
      <x:c r="E157" s="16" t="str">
        <x:v>C&amp;K</x:v>
      </x:c>
      <x:c r="F157" s="16" t="str">
        <x:v>PTS645SL43SMTR92 LFS</x:v>
      </x:c>
      <x:c r="G157" s="16" t="str"/>
      <x:c r="H157" s="16" t="str">
        <x:v>6 x 6 mm tactile</x:v>
      </x:c>
      <x:c r="I157" s="16" t="str">
        <x:v>Momentary NO</x:v>
      </x:c>
      <x:c r="J157" s="16" t="str">
        <x:v>High</x:v>
      </x:c>
      <x:c r="K157" s="16" t="str"/>
      <x:c r="L157" s="16" t="str">
        <x:v>Package variant may be SMT; verify before order</x:v>
      </x:c>
      <x:c r="M157" s="16" t="str"/>
      <x:c r="N157" s="113" t="str">
        <x:v>https://www.digikey.com/en/products/result?keywords=PTS645SL43SMTR92+LFS</x:v>
      </x:c>
    </x:row>
    <x:row r="158">
      <x:c r="A158" s="99" t="n">
        <x:v>40</x:v>
      </x:c>
      <x:c r="B158" s="16" t="str">
        <x:v>U1</x:v>
      </x:c>
      <x:c r="C158" s="16" t="n">
        <x:v>1</x:v>
      </x:c>
      <x:c r="D158" s="16" t="str">
        <x:v>Primary</x:v>
      </x:c>
      <x:c r="E158" s="16" t="str">
        <x:v>Espressif</x:v>
      </x:c>
      <x:c r="F158" s="16" t="str">
        <x:v>ESP32-WROOM-32UE-N8</x:v>
      </x:c>
      <x:c r="G158" s="16" t="str">
        <x:v>C701345</x:v>
      </x:c>
      <x:c r="H158" s="16" t="str">
        <x:v>ESP32-WROOM-32UE module</x:v>
      </x:c>
      <x:c r="I158" s="16" t="str">
        <x:v>8 MB flash, external antenna connector</x:v>
      </x:c>
      <x:c r="J158" s="16" t="str">
        <x:v>JLC listed / high</x:v>
      </x:c>
      <x:c r="K158" s="16" t="str"/>
      <x:c r="L158" s="16" t="str">
        <x:v>Drop-in</x:v>
      </x:c>
      <x:c r="M158" s="16" t="str"/>
      <x:c r="N158" s="113" t="str">
        <x:v>https://jlcpcb.com/partdetail/EspressifSystems-ESP32_WROOM_32UE_N8/C701345</x:v>
      </x:c>
    </x:row>
    <x:row r="159">
      <x:c r="A159" s="99" t="n">
        <x:v>40</x:v>
      </x:c>
      <x:c r="B159" s="16" t="str">
        <x:v>U1</x:v>
      </x:c>
      <x:c r="C159" s="16" t="n">
        <x:v>2</x:v>
      </x:c>
      <x:c r="D159" s="16" t="str">
        <x:v>Alternative 1</x:v>
      </x:c>
      <x:c r="E159" s="16" t="str">
        <x:v>Espressif</x:v>
      </x:c>
      <x:c r="F159" s="16" t="str">
        <x:v>ESP32-WROOM-32UE-N4</x:v>
      </x:c>
      <x:c r="G159" s="16" t="str">
        <x:v>C701344</x:v>
      </x:c>
      <x:c r="H159" s="16" t="str">
        <x:v>ESP32-WROOM-32UE module</x:v>
      </x:c>
      <x:c r="I159" s="16" t="str">
        <x:v>4 MB flash, external antenna connector</x:v>
      </x:c>
      <x:c r="J159" s="16" t="str">
        <x:v>JLC listed</x:v>
      </x:c>
      <x:c r="K159" s="16" t="str"/>
      <x:c r="L159" s="16" t="str">
        <x:v>Drop-in; lower flash</x:v>
      </x:c>
      <x:c r="M159" s="16" t="str"/>
      <x:c r="N159" s="113" t="str">
        <x:v>https://jlcpcb.com/partdetail/EspressifSystems-ESP32_WROOM_32UE_N4/C701344</x:v>
      </x:c>
    </x:row>
    <x:row r="160">
      <x:c r="A160" s="99" t="n">
        <x:v>40</x:v>
      </x:c>
      <x:c r="B160" s="16" t="str">
        <x:v>U1</x:v>
      </x:c>
      <x:c r="C160" s="16" t="n">
        <x:v>3</x:v>
      </x:c>
      <x:c r="D160" s="16" t="str">
        <x:v>Alternative 2</x:v>
      </x:c>
      <x:c r="E160" s="16" t="str">
        <x:v>Espressif</x:v>
      </x:c>
      <x:c r="F160" s="16" t="str">
        <x:v>ESP32-WROOM-32UE-N16</x:v>
      </x:c>
      <x:c r="G160" s="16" t="str">
        <x:v>C701346</x:v>
      </x:c>
      <x:c r="H160" s="16" t="str">
        <x:v>ESP32-WROOM-32UE module</x:v>
      </x:c>
      <x:c r="I160" s="16" t="str">
        <x:v>16 MB flash, external antenna connector</x:v>
      </x:c>
      <x:c r="J160" s="16" t="str">
        <x:v>JLC listed</x:v>
      </x:c>
      <x:c r="K160" s="16" t="str"/>
      <x:c r="L160" s="16" t="str">
        <x:v>Drop-in; firmware partition change may be useful</x:v>
      </x:c>
      <x:c r="M160" s="16" t="str"/>
      <x:c r="N160" s="113" t="str">
        <x:v>https://jlcpcb.com/partdetail/EspressifSystems-ESP32_WROOM_32UE_N16/C701346</x:v>
      </x:c>
    </x:row>
    <x:row r="161">
      <x:c r="A161" s="99" t="n">
        <x:v>40</x:v>
      </x:c>
      <x:c r="B161" s="16" t="str">
        <x:v>U1</x:v>
      </x:c>
      <x:c r="C161" s="16" t="n">
        <x:v>4</x:v>
      </x:c>
      <x:c r="D161" s="16" t="str">
        <x:v>Alternative 3</x:v>
      </x:c>
      <x:c r="E161" s="16" t="str">
        <x:v>Espressif</x:v>
      </x:c>
      <x:c r="F161" s="16" t="str">
        <x:v>ESP32-WROOM-32UE-N8R2</x:v>
      </x:c>
      <x:c r="G161" s="16" t="str">
        <x:v>C6946018</x:v>
      </x:c>
      <x:c r="H161" s="16" t="str">
        <x:v>ESP32-WROOM-32UE module</x:v>
      </x:c>
      <x:c r="I161" s="16" t="str">
        <x:v>8 MB flash + PSRAM variant; verify firmware target</x:v>
      </x:c>
      <x:c r="J161" s="16" t="str">
        <x:v>JLC listed</x:v>
      </x:c>
      <x:c r="K161" s="16" t="str"/>
      <x:c r="L161" s="16" t="str">
        <x:v>Drop-in hardware; firmware config change</x:v>
      </x:c>
      <x:c r="M161" s="16" t="str"/>
      <x:c r="N161" s="113" t="str">
        <x:v>https://jlcpcb.com/partdetail/EspressifSystems-ESP32_WROOM_32UE_N8R2/C6946018</x:v>
      </x:c>
    </x:row>
    <x:row r="162">
      <x:c r="A162" s="99" t="n">
        <x:v>41</x:v>
      </x:c>
      <x:c r="B162" s="16" t="str">
        <x:v>U2</x:v>
      </x:c>
      <x:c r="C162" s="16" t="n">
        <x:v>1</x:v>
      </x:c>
      <x:c r="D162" s="16" t="str">
        <x:v>Primary</x:v>
      </x:c>
      <x:c r="E162" s="16" t="str">
        <x:v>Mixic</x:v>
      </x:c>
      <x:c r="F162" s="16" t="str">
        <x:v>ULN2803A</x:v>
      </x:c>
      <x:c r="G162" s="16" t="str">
        <x:v>C107219</x:v>
      </x:c>
      <x:c r="H162" s="16" t="str">
        <x:v>SOP-18 300 mil</x:v>
      </x:c>
      <x:c r="I162" s="16" t="str">
        <x:v>8-channel Darlington sink array, 50 V, 500 mA/channel class</x:v>
      </x:c>
      <x:c r="J162" s="16" t="str">
        <x:v>JLC high</x:v>
      </x:c>
      <x:c r="K162" s="16" t="str">
        <x:v>&lt;$0.10 typical</x:v>
      </x:c>
      <x:c r="L162" s="16" t="str">
        <x:v>Drop-in</x:v>
      </x:c>
      <x:c r="M162" s="16" t="str"/>
      <x:c r="N162" s="113" t="str">
        <x:v>https://jlcpcb.com/partdetail/Mixic-ULN2803A/C107219</x:v>
      </x:c>
    </x:row>
    <x:row r="163">
      <x:c r="A163" s="99" t="n">
        <x:v>41</x:v>
      </x:c>
      <x:c r="B163" s="16" t="str">
        <x:v>U2</x:v>
      </x:c>
      <x:c r="C163" s="16" t="n">
        <x:v>2</x:v>
      </x:c>
      <x:c r="D163" s="16" t="str">
        <x:v>Alternative 1</x:v>
      </x:c>
      <x:c r="E163" s="16" t="str">
        <x:v>UMW</x:v>
      </x:c>
      <x:c r="F163" s="16" t="str">
        <x:v>ULN2803A</x:v>
      </x:c>
      <x:c r="G163" s="16" t="str">
        <x:v>C845537</x:v>
      </x:c>
      <x:c r="H163" s="16" t="str">
        <x:v>SOP-18 300 mil</x:v>
      </x:c>
      <x:c r="I163" s="16" t="str">
        <x:v>8-channel Darlington sink array, 50 V class</x:v>
      </x:c>
      <x:c r="J163" s="16" t="str">
        <x:v>JLC listed</x:v>
      </x:c>
      <x:c r="K163" s="16" t="str"/>
      <x:c r="L163" s="16" t="str">
        <x:v>Drop-in</x:v>
      </x:c>
      <x:c r="M163" s="16" t="str"/>
      <x:c r="N163" s="113" t="str">
        <x:v>https://jlcpcb.com/partdetail/UMW-ULN2803A/C845537</x:v>
      </x:c>
    </x:row>
    <x:row r="164">
      <x:c r="A164" s="99" t="n">
        <x:v>41</x:v>
      </x:c>
      <x:c r="B164" s="16" t="str">
        <x:v>U2</x:v>
      </x:c>
      <x:c r="C164" s="16" t="n">
        <x:v>3</x:v>
      </x:c>
      <x:c r="D164" s="16" t="str">
        <x:v>Alternative 2</x:v>
      </x:c>
      <x:c r="E164" s="16" t="str">
        <x:v>Texas Instruments</x:v>
      </x:c>
      <x:c r="F164" s="16" t="str">
        <x:v>ULN2803ADWR</x:v>
      </x:c>
      <x:c r="G164" s="16" t="str"/>
      <x:c r="H164" s="16" t="str">
        <x:v>SOIC-18 wide</x:v>
      </x:c>
      <x:c r="I164" s="16" t="str">
        <x:v>8-channel Darlington sink array, 50 V, 500 mA/channel</x:v>
      </x:c>
      <x:c r="J164" s="16" t="str">
        <x:v>Very high</x:v>
      </x:c>
      <x:c r="K164" s="16" t="str"/>
      <x:c r="L164" s="16" t="str">
        <x:v>Drop-in</x:v>
      </x:c>
      <x:c r="M164" s="16" t="str"/>
      <x:c r="N164" s="113" t="str">
        <x:v>https://www.digikey.com/en/products/result?keywords=ULN2803ADWR</x:v>
      </x:c>
    </x:row>
    <x:row r="165">
      <x:c r="A165" s="99" t="n">
        <x:v>41</x:v>
      </x:c>
      <x:c r="B165" s="16" t="str">
        <x:v>U2</x:v>
      </x:c>
      <x:c r="C165" s="16" t="n">
        <x:v>4</x:v>
      </x:c>
      <x:c r="D165" s="16" t="str">
        <x:v>Alternative 3</x:v>
      </x:c>
      <x:c r="E165" s="16" t="str">
        <x:v>STMicroelectronics</x:v>
      </x:c>
      <x:c r="F165" s="16" t="str">
        <x:v>ULN2803AD1013TR</x:v>
      </x:c>
      <x:c r="G165" s="16" t="str"/>
      <x:c r="H165" s="16" t="str">
        <x:v>SO-18 wide</x:v>
      </x:c>
      <x:c r="I165" s="16" t="str">
        <x:v>8-channel Darlington sink array, 50 V class</x:v>
      </x:c>
      <x:c r="J165" s="16" t="str">
        <x:v>Very high</x:v>
      </x:c>
      <x:c r="K165" s="16" t="str"/>
      <x:c r="L165" s="16" t="str">
        <x:v>Drop-in; verify footprint courtyard</x:v>
      </x:c>
      <x:c r="M165" s="16" t="str"/>
      <x:c r="N165" s="113" t="str">
        <x:v>https://www.digikey.com/en/products/result?keywords=ULN2803AD1013TR</x:v>
      </x:c>
    </x:row>
    <x:row r="166">
      <x:c r="A166" s="99" t="n">
        <x:v>42</x:v>
      </x:c>
      <x:c r="B166" s="16" t="str">
        <x:v>U3</x:v>
      </x:c>
      <x:c r="C166" s="16" t="n">
        <x:v>1</x:v>
      </x:c>
      <x:c r="D166" s="16" t="str">
        <x:v>Primary</x:v>
      </x:c>
      <x:c r="E166" s="16" t="str">
        <x:v>WIZnet</x:v>
      </x:c>
      <x:c r="F166" s="16" t="str">
        <x:v>W5500</x:v>
      </x:c>
      <x:c r="G166" s="16" t="str">
        <x:v>C32843</x:v>
      </x:c>
      <x:c r="H166" s="16" t="str">
        <x:v>LQFP-48 7x7</x:v>
      </x:c>
      <x:c r="I166" s="16" t="str">
        <x:v>Hardwired TCP/IP Ethernet controller, 3.3 V, integrated 10/100 PHY</x:v>
      </x:c>
      <x:c r="J166" s="16" t="str">
        <x:v>JLC high</x:v>
      </x:c>
      <x:c r="K166" s="16" t="str">
        <x:v>~$2-$4</x:v>
      </x:c>
      <x:c r="L166" s="16" t="str">
        <x:v>Drop-in</x:v>
      </x:c>
      <x:c r="M166" s="16" t="str"/>
      <x:c r="N166" s="113" t="str">
        <x:v>https://jlcpcb.com/partdetail/WIZnet-W5500/C32843</x:v>
      </x:c>
    </x:row>
    <x:row r="167">
      <x:c r="A167" s="99" t="n">
        <x:v>42</x:v>
      </x:c>
      <x:c r="B167" s="16" t="str">
        <x:v>U3</x:v>
      </x:c>
      <x:c r="C167" s="16" t="n">
        <x:v>2</x:v>
      </x:c>
      <x:c r="D167" s="16" t="str">
        <x:v>Alternative 1</x:v>
      </x:c>
      <x:c r="E167" s="16" t="str">
        <x:v>WIZnet</x:v>
      </x:c>
      <x:c r="F167" s="16" t="str">
        <x:v>W5500</x:v>
      </x:c>
      <x:c r="G167" s="16" t="str"/>
      <x:c r="H167" s="16" t="str">
        <x:v>LQFP-48 7x7</x:v>
      </x:c>
      <x:c r="I167" s="16" t="str">
        <x:v>Same silicon sourced from authorized distributor</x:v>
      </x:c>
      <x:c r="J167" s="16" t="str">
        <x:v>Very high</x:v>
      </x:c>
      <x:c r="K167" s="16" t="str"/>
      <x:c r="L167" s="16" t="str">
        <x:v>Drop-in / alternate supply channel</x:v>
      </x:c>
      <x:c r="M167" s="16" t="str"/>
      <x:c r="N167" s="113" t="str">
        <x:v>https://www.digikey.com/en/products/detail/wiznet/W5500/4425708</x:v>
      </x:c>
    </x:row>
    <x:row r="168">
      <x:c r="A168" s="99" t="n">
        <x:v>42</x:v>
      </x:c>
      <x:c r="B168" s="16" t="str">
        <x:v>U3</x:v>
      </x:c>
      <x:c r="C168" s="16" t="n">
        <x:v>3</x:v>
      </x:c>
      <x:c r="D168" s="16" t="str">
        <x:v>Alternative 2</x:v>
      </x:c>
      <x:c r="E168" s="16" t="str">
        <x:v>WIZnet</x:v>
      </x:c>
      <x:c r="F168" s="16" t="str">
        <x:v>W5100S-L</x:v>
      </x:c>
      <x:c r="G168" s="16" t="str"/>
      <x:c r="H168" s="16" t="str">
        <x:v>LQFP-48</x:v>
      </x:c>
      <x:c r="I168" s="16" t="str">
        <x:v>Hardwired TCP/IP Ethernet controller</x:v>
      </x:c>
      <x:c r="J168" s="16" t="str">
        <x:v>High</x:v>
      </x:c>
      <x:c r="K168" s="16" t="str"/>
      <x:c r="L168" s="16" t="str">
        <x:v>Not drop-in: pinout/firmware review</x:v>
      </x:c>
      <x:c r="M168" s="16" t="str"/>
      <x:c r="N168" s="113" t="str">
        <x:v>https://www.digikey.com/en/products/result?keywords=W5100S-L</x:v>
      </x:c>
    </x:row>
    <x:row r="169">
      <x:c r="A169" s="99" t="n">
        <x:v>42</x:v>
      </x:c>
      <x:c r="B169" s="16" t="str">
        <x:v>U3</x:v>
      </x:c>
      <x:c r="C169" s="16" t="n">
        <x:v>4</x:v>
      </x:c>
      <x:c r="D169" s="16" t="str">
        <x:v>Alternative 3</x:v>
      </x:c>
      <x:c r="E169" s="16" t="str">
        <x:v>Microchip</x:v>
      </x:c>
      <x:c r="F169" s="16" t="str">
        <x:v>ENC28J60-I/ML</x:v>
      </x:c>
      <x:c r="G169" s="16" t="str"/>
      <x:c r="H169" s="16" t="str">
        <x:v>QFN-28</x:v>
      </x:c>
      <x:c r="I169" s="16" t="str">
        <x:v>10BASE-T Ethernet controller</x:v>
      </x:c>
      <x:c r="J169" s="16" t="str">
        <x:v>High</x:v>
      </x:c>
      <x:c r="K169" s="16" t="str"/>
      <x:c r="L169" s="16" t="str">
        <x:v>Full redesign: package, PHY interface, firmware</x:v>
      </x:c>
      <x:c r="M169" s="16" t="str"/>
      <x:c r="N169" s="113" t="str">
        <x:v>https://www.digikey.com/en/products/result?keywords=ENC28J60-I%2FML</x:v>
      </x:c>
    </x:row>
    <x:row r="170">
      <x:c r="A170" s="99" t="n">
        <x:v>43</x:v>
      </x:c>
      <x:c r="B170" s="16" t="str">
        <x:v>U4</x:v>
      </x:c>
      <x:c r="C170" s="16" t="n">
        <x:v>1</x:v>
      </x:c>
      <x:c r="D170" s="16" t="str">
        <x:v>Primary</x:v>
      </x:c>
      <x:c r="E170" s="16" t="str">
        <x:v>Bel Fuse</x:v>
      </x:c>
      <x:c r="F170" s="16" t="str">
        <x:v>0685F3000-01</x:v>
      </x:c>
      <x:c r="G170" s="16" t="str"/>
      <x:c r="H170" s="16" t="str">
        <x:v>1206</x:v>
      </x:c>
      <x:c r="I170" s="16" t="str">
        <x:v>3 A, fast-acting C1F series; verify 63 V DC rating</x:v>
      </x:c>
      <x:c r="J170" s="16" t="str">
        <x:v>High distributor availability</x:v>
      </x:c>
      <x:c r="K170" s="16" t="str"/>
      <x:c r="L170" s="16" t="str">
        <x:v>Drop-in</x:v>
      </x:c>
      <x:c r="M170" s="16" t="str"/>
      <x:c r="N170" s="113" t="str">
        <x:v>https://www.digikey.com/en/products/result?keywords=0685F3000-01</x:v>
      </x:c>
    </x:row>
    <x:row r="171">
      <x:c r="A171" s="99" t="n">
        <x:v>43</x:v>
      </x:c>
      <x:c r="B171" s="16" t="str">
        <x:v>U4</x:v>
      </x:c>
      <x:c r="C171" s="16" t="n">
        <x:v>2</x:v>
      </x:c>
      <x:c r="D171" s="16" t="str">
        <x:v>Alternative 1</x:v>
      </x:c>
      <x:c r="E171" s="16" t="str">
        <x:v>Bourns</x:v>
      </x:c>
      <x:c r="F171" s="16" t="str">
        <x:v>SF-1206F300-2</x:v>
      </x:c>
      <x:c r="G171" s="16" t="str"/>
      <x:c r="H171" s="16" t="str">
        <x:v>1206</x:v>
      </x:c>
      <x:c r="I171" s="16" t="str">
        <x:v>3 A fast-acting chip fuse; verify DC interrupt rating</x:v>
      </x:c>
      <x:c r="J171" s="16" t="str">
        <x:v>High</x:v>
      </x:c>
      <x:c r="K171" s="16" t="str"/>
      <x:c r="L171" s="16" t="str">
        <x:v>Drop-in</x:v>
      </x:c>
      <x:c r="M171" s="16" t="str"/>
      <x:c r="N171" s="113" t="str">
        <x:v>https://www.digikey.com/en/products/result?keywords=SF-1206F300-2</x:v>
      </x:c>
    </x:row>
    <x:row r="172">
      <x:c r="A172" s="99" t="n">
        <x:v>43</x:v>
      </x:c>
      <x:c r="B172" s="16" t="str">
        <x:v>U4</x:v>
      </x:c>
      <x:c r="C172" s="16" t="n">
        <x:v>3</x:v>
      </x:c>
      <x:c r="D172" s="16" t="str">
        <x:v>Alternative 2</x:v>
      </x:c>
      <x:c r="E172" s="16" t="str">
        <x:v>Eaton</x:v>
      </x:c>
      <x:c r="F172" s="16" t="str">
        <x:v>CC12H3A-TR</x:v>
      </x:c>
      <x:c r="G172" s="16" t="str"/>
      <x:c r="H172" s="16" t="str">
        <x:v>1206</x:v>
      </x:c>
      <x:c r="I172" s="16" t="str">
        <x:v>3 A chip fuse; verify speed/DC rating</x:v>
      </x:c>
      <x:c r="J172" s="16" t="str">
        <x:v>High</x:v>
      </x:c>
      <x:c r="K172" s="16" t="str"/>
      <x:c r="L172" s="16" t="str">
        <x:v>Drop-in</x:v>
      </x:c>
      <x:c r="M172" s="16" t="str"/>
      <x:c r="N172" s="113" t="str">
        <x:v>https://www.digikey.com/en/products/result?keywords=CC12H3A-TR</x:v>
      </x:c>
    </x:row>
    <x:row r="173">
      <x:c r="A173" s="99" t="n">
        <x:v>43</x:v>
      </x:c>
      <x:c r="B173" s="16" t="str">
        <x:v>U4</x:v>
      </x:c>
      <x:c r="C173" s="16" t="n">
        <x:v>4</x:v>
      </x:c>
      <x:c r="D173" s="16" t="str">
        <x:v>Alternative 3</x:v>
      </x:c>
      <x:c r="E173" s="16" t="str">
        <x:v>Littelfuse</x:v>
      </x:c>
      <x:c r="F173" s="16" t="str">
        <x:v>0467003.NRHF</x:v>
      </x:c>
      <x:c r="G173" s="16" t="str"/>
      <x:c r="H173" s="16" t="str">
        <x:v>1206</x:v>
      </x:c>
      <x:c r="I173" s="16" t="str">
        <x:v>3 A chip fuse; verify speed/DC rating</x:v>
      </x:c>
      <x:c r="J173" s="16" t="str">
        <x:v>High</x:v>
      </x:c>
      <x:c r="K173" s="16" t="str"/>
      <x:c r="L173" s="16" t="str">
        <x:v>Drop-in</x:v>
      </x:c>
      <x:c r="M173" s="16" t="str"/>
      <x:c r="N173" s="113" t="str">
        <x:v>https://www.digikey.com/en/products/result?keywords=0467003.NRHF</x:v>
      </x:c>
    </x:row>
    <x:row r="174">
      <x:c r="A174" s="99" t="n">
        <x:v>44</x:v>
      </x:c>
      <x:c r="B174" s="16" t="str">
        <x:v>U5</x:v>
      </x:c>
      <x:c r="C174" s="16" t="n">
        <x:v>1</x:v>
      </x:c>
      <x:c r="D174" s="16" t="str">
        <x:v>Primary</x:v>
      </x:c>
      <x:c r="E174" s="16" t="str">
        <x:v>Texas Instruments</x:v>
      </x:c>
      <x:c r="F174" s="16" t="str">
        <x:v>TPS630701RNMR</x:v>
      </x:c>
      <x:c r="G174" s="16" t="str">
        <x:v>C2876599</x:v>
      </x:c>
      <x:c r="H174" s="16" t="str">
        <x:v>VQFN-HR-15, 3x2.5 mm</x:v>
      </x:c>
      <x:c r="I174" s="16" t="str">
        <x:v>Fixed 5 V buck-boost, 2-16 V input, 2 A output class</x:v>
      </x:c>
      <x:c r="J174" s="16" t="str">
        <x:v>JLC stock reported high</x:v>
      </x:c>
      <x:c r="K174" s="16" t="str">
        <x:v>~$1.27</x:v>
      </x:c>
      <x:c r="L174" s="16" t="str">
        <x:v>Drop-in</x:v>
      </x:c>
      <x:c r="M174" s="16" t="str"/>
      <x:c r="N174" s="113" t="str">
        <x:v>https://jlcpcb.com/partdetail/TexasInstruments-TPS630701RNMR/C2876599</x:v>
      </x:c>
    </x:row>
    <x:row r="175">
      <x:c r="A175" s="99" t="n">
        <x:v>44</x:v>
      </x:c>
      <x:c r="B175" s="16" t="str">
        <x:v>U5</x:v>
      </x:c>
      <x:c r="C175" s="16" t="n">
        <x:v>2</x:v>
      </x:c>
      <x:c r="D175" s="16" t="str">
        <x:v>Alternative 1</x:v>
      </x:c>
      <x:c r="E175" s="16" t="str">
        <x:v>Texas Instruments</x:v>
      </x:c>
      <x:c r="F175" s="16" t="str">
        <x:v>TPS630701RNMT</x:v>
      </x:c>
      <x:c r="G175" s="16" t="str"/>
      <x:c r="H175" s="16" t="str">
        <x:v>VQFN-HR-15, 3x2.5 mm</x:v>
      </x:c>
      <x:c r="I175" s="16" t="str">
        <x:v>Same fixed 5 V device, alternate reel quantity</x:v>
      </x:c>
      <x:c r="J175" s="16" t="str">
        <x:v>High distributor availability</x:v>
      </x:c>
      <x:c r="K175" s="16" t="str"/>
      <x:c r="L175" s="16" t="str">
        <x:v>Drop-in</x:v>
      </x:c>
      <x:c r="M175" s="16" t="str"/>
      <x:c r="N175" s="113" t="str">
        <x:v>https://www.digikey.com/en/products/result?keywords=TPS630701RNMT</x:v>
      </x:c>
    </x:row>
    <x:row r="176">
      <x:c r="A176" s="99" t="n">
        <x:v>44</x:v>
      </x:c>
      <x:c r="B176" s="16" t="str">
        <x:v>U5</x:v>
      </x:c>
      <x:c r="C176" s="16" t="n">
        <x:v>3</x:v>
      </x:c>
      <x:c r="D176" s="16" t="str">
        <x:v>Alternative 2</x:v>
      </x:c>
      <x:c r="E176" s="16" t="str">
        <x:v>Texas Instruments</x:v>
      </x:c>
      <x:c r="F176" s="16" t="str">
        <x:v>TPS63070RNMR</x:v>
      </x:c>
      <x:c r="G176" s="16" t="str"/>
      <x:c r="H176" s="16" t="str">
        <x:v>VQFN-HR-15, 3x2.5 mm</x:v>
      </x:c>
      <x:c r="I176" s="16" t="str">
        <x:v>Adjustable 2.5-9 V buck-boost</x:v>
      </x:c>
      <x:c r="J176" s="16" t="str">
        <x:v>High</x:v>
      </x:c>
      <x:c r="K176" s="16" t="str"/>
      <x:c r="L176" s="16" t="str">
        <x:v>Same package; schematic/BOM feedback network change</x:v>
      </x:c>
      <x:c r="M176" s="16" t="str"/>
      <x:c r="N176" s="113" t="str">
        <x:v>https://www.digikey.com/en/products/result?keywords=TPS63070RNMR</x:v>
      </x:c>
    </x:row>
    <x:row r="177">
      <x:c r="A177" s="99" t="n">
        <x:v>44</x:v>
      </x:c>
      <x:c r="B177" s="16" t="str">
        <x:v>U5</x:v>
      </x:c>
      <x:c r="C177" s="16" t="n">
        <x:v>4</x:v>
      </x:c>
      <x:c r="D177" s="16" t="str">
        <x:v>Alternative 3</x:v>
      </x:c>
      <x:c r="E177" s="16" t="str">
        <x:v>Texas Instruments</x:v>
      </x:c>
      <x:c r="F177" s="16" t="str">
        <x:v>TPS630702RNMR</x:v>
      </x:c>
      <x:c r="G177" s="16" t="str">
        <x:v>C2071354</x:v>
      </x:c>
      <x:c r="H177" s="16" t="str">
        <x:v>VQFN-HR-15, 3x2.5 mm</x:v>
      </x:c>
      <x:c r="I177" s="16" t="str">
        <x:v>Adjustable/variant buck-boost</x:v>
      </x:c>
      <x:c r="J177" s="16" t="str">
        <x:v>JLC listed</x:v>
      </x:c>
      <x:c r="K177" s="16" t="str"/>
      <x:c r="L177" s="16" t="str">
        <x:v>Same package; configuration review required</x:v>
      </x:c>
      <x:c r="M177" s="16" t="str"/>
      <x:c r="N177" s="113" t="str">
        <x:v>https://jlcpcb.com/partdetail/TexasInstruments-TPS630702RNMR/C2071354</x:v>
      </x:c>
    </x:row>
    <x:row r="178">
      <x:c r="A178" s="99" t="n">
        <x:v>45</x:v>
      </x:c>
      <x:c r="B178" s="16" t="str">
        <x:v>U7</x:v>
      </x:c>
      <x:c r="C178" s="16" t="n">
        <x:v>1</x:v>
      </x:c>
      <x:c r="D178" s="16" t="str">
        <x:v>Primary</x:v>
      </x:c>
      <x:c r="E178" s="16" t="str">
        <x:v>Texas Instruments</x:v>
      </x:c>
      <x:c r="F178" s="16" t="str">
        <x:v>TVS1400DRVR</x:v>
      </x:c>
      <x:c r="G178" s="16" t="str">
        <x:v>C1975229</x:v>
      </x:c>
      <x:c r="H178" s="16" t="str">
        <x:v>WSON-6 2x2</x:v>
      </x:c>
      <x:c r="I178" s="16" t="str">
        <x:v>14 V standoff flat-clamp TVS, 19.3 V max clamp at specified surge</x:v>
      </x:c>
      <x:c r="J178" s="16" t="str">
        <x:v>JLC stock ~2k at research time</x:v>
      </x:c>
      <x:c r="K178" s="16" t="str">
        <x:v>~$0.39</x:v>
      </x:c>
      <x:c r="L178" s="16" t="str">
        <x:v>Same footprint; engineering review required</x:v>
      </x:c>
      <x:c r="M178" s="16" t="str">
        <x:v>Better coordinated than TVS1800 for a 12 V rail, but its worst-case clamp still exceeds the TPS63070 16 V recommended input range; verify absolute maximum, surge impedance, fuse/series resistance, and test waveform.</x:v>
      </x:c>
      <x:c r="N178" s="113" t="str">
        <x:v>https://jlcpcb.com/partdetail/TVS1400DRVR/C1975229</x:v>
      </x:c>
    </x:row>
    <x:row r="179">
      <x:c r="A179" s="99" t="n">
        <x:v>45</x:v>
      </x:c>
      <x:c r="B179" s="16" t="str">
        <x:v>U7</x:v>
      </x:c>
      <x:c r="C179" s="16" t="n">
        <x:v>2</x:v>
      </x:c>
      <x:c r="D179" s="16" t="str">
        <x:v>Alternative 1</x:v>
      </x:c>
      <x:c r="E179" s="16" t="str">
        <x:v>Texas Instruments</x:v>
      </x:c>
      <x:c r="F179" s="16" t="str">
        <x:v>TVS1400DRVT</x:v>
      </x:c>
      <x:c r="G179" s="16" t="str"/>
      <x:c r="H179" s="16" t="str">
        <x:v>WSON-6 2x2</x:v>
      </x:c>
      <x:c r="I179" s="16" t="str">
        <x:v>Same TVS1400 silicon, alternate package quantity</x:v>
      </x:c>
      <x:c r="J179" s="16" t="str">
        <x:v>High distributor availability</x:v>
      </x:c>
      <x:c r="K179" s="16" t="str"/>
      <x:c r="L179" s="16" t="str">
        <x:v>Same footprint; engineering review required</x:v>
      </x:c>
      <x:c r="M179" s="16" t="str"/>
      <x:c r="N179" s="113" t="str">
        <x:v>https://www.digikey.com/en/products/result?keywords=TVS1400DRVT</x:v>
      </x:c>
    </x:row>
    <x:row r="180">
      <x:c r="A180" s="99" t="n">
        <x:v>45</x:v>
      </x:c>
      <x:c r="B180" s="16" t="str">
        <x:v>U7</x:v>
      </x:c>
      <x:c r="C180" s="16" t="n">
        <x:v>3</x:v>
      </x:c>
      <x:c r="D180" s="16" t="str">
        <x:v>Alternative 2</x:v>
      </x:c>
      <x:c r="E180" s="16" t="str">
        <x:v>Texas Instruments</x:v>
      </x:c>
      <x:c r="F180" s="16" t="str">
        <x:v>TVS1800DRVR</x:v>
      </x:c>
      <x:c r="G180" s="16" t="str"/>
      <x:c r="H180" s="16" t="str">
        <x:v>WSON-6 2x2</x:v>
      </x:c>
      <x:c r="I180" s="16" t="str">
        <x:v>18 V standoff, ~24.7 V max clamp</x:v>
      </x:c>
      <x:c r="J180" s="16" t="str">
        <x:v>DigiKey/Mouser stock high</x:v>
      </x:c>
      <x:c r="K180" s="16" t="str">
        <x:v>~$1.10 single</x:v>
      </x:c>
      <x:c r="L180" s="16" t="str">
        <x:v>Drop-in but not recommended for protecting TPS63070 input</x:v>
      </x:c>
      <x:c r="M180" s="16" t="str"/>
      <x:c r="N180" s="113" t="str">
        <x:v>https://www.digikey.com/en/products/detail/texas-instruments/TVS1800DRVR/8601784</x:v>
      </x:c>
    </x:row>
    <x:row r="181">
      <x:c r="A181" s="99" t="n">
        <x:v>45</x:v>
      </x:c>
      <x:c r="B181" s="16" t="str">
        <x:v>U7</x:v>
      </x:c>
      <x:c r="C181" s="16" t="n">
        <x:v>4</x:v>
      </x:c>
      <x:c r="D181" s="16" t="str">
        <x:v>Alternative 3</x:v>
      </x:c>
      <x:c r="E181" s="16" t="str">
        <x:v>Littelfuse / equivalent</x:v>
      </x:c>
      <x:c r="F181" s="16" t="str">
        <x:v>SMAJ12A</x:v>
      </x:c>
      <x:c r="G181" s="16" t="str"/>
      <x:c r="H181" s="16" t="str">
        <x:v>SMA</x:v>
      </x:c>
      <x:c r="I181" s="16" t="str">
        <x:v>12 V standoff, high pulse-power TVS</x:v>
      </x:c>
      <x:c r="J181" s="16" t="str">
        <x:v>Very high / commodity</x:v>
      </x:c>
      <x:c r="K181" s="16" t="str">
        <x:v>&lt;$0.10 typical</x:v>
      </x:c>
      <x:c r="L181" s="16" t="str">
        <x:v>Layout change; protection coordination still required</x:v>
      </x:c>
      <x:c r="M181" s="16" t="str"/>
      <x:c r="N181" s="113" t="str">
        <x:v>https://www.digikey.com/en/products/result?keywords=SMAJ12A</x:v>
      </x:c>
    </x:row>
    <x:row r="182">
      <x:c r="A182" s="99" t="n">
        <x:v>46</x:v>
      </x:c>
      <x:c r="B182" s="16" t="str">
        <x:v>U9,U10</x:v>
      </x:c>
      <x:c r="C182" s="16" t="n">
        <x:v>1</x:v>
      </x:c>
      <x:c r="D182" s="16" t="str">
        <x:v>Primary</x:v>
      </x:c>
      <x:c r="E182" s="16" t="str">
        <x:v>Texas Instruments</x:v>
      </x:c>
      <x:c r="F182" s="16" t="str">
        <x:v>TLV1117LV33DCYR</x:v>
      </x:c>
      <x:c r="G182" s="16" t="str">
        <x:v>C15578</x:v>
      </x:c>
      <x:c r="H182" s="16" t="str">
        <x:v>SOT-223-4</x:v>
      </x:c>
      <x:c r="I182" s="16" t="str">
        <x:v>3.3 V fixed, 1 A, VIN 2-5.5 V, ceramic stable</x:v>
      </x:c>
      <x:c r="J182" s="16" t="str">
        <x:v>LCSC/JLC availability good</x:v>
      </x:c>
      <x:c r="K182" s="16" t="str">
        <x:v>~$0.21-$0.37</x:v>
      </x:c>
      <x:c r="L182" s="16" t="str">
        <x:v>Drop-in</x:v>
      </x:c>
      <x:c r="M182" s="16" t="str"/>
      <x:c r="N182" s="113" t="str">
        <x:v>https://www.lcsc.com/product-detail/Low-Dropout-Regulators-LDO_TI_TLV1117LV33DCYR_TLV1117LV33DCYR_C15578.html</x:v>
      </x:c>
    </x:row>
    <x:row r="183">
      <x:c r="A183" s="99" t="n">
        <x:v>46</x:v>
      </x:c>
      <x:c r="B183" s="16" t="str">
        <x:v>U9,U10</x:v>
      </x:c>
      <x:c r="C183" s="16" t="n">
        <x:v>2</x:v>
      </x:c>
      <x:c r="D183" s="16" t="str">
        <x:v>Alternative 1</x:v>
      </x:c>
      <x:c r="E183" s="16" t="str">
        <x:v>Texas Instruments</x:v>
      </x:c>
      <x:c r="F183" s="16" t="str">
        <x:v>TLV1117LV33DCYT</x:v>
      </x:c>
      <x:c r="G183" s="16" t="str"/>
      <x:c r="H183" s="16" t="str">
        <x:v>SOT-223-4</x:v>
      </x:c>
      <x:c r="I183" s="16" t="str">
        <x:v>Same 3.3 V TLV1117LV, smaller reel/cut-tape orderable</x:v>
      </x:c>
      <x:c r="J183" s="16" t="str">
        <x:v>High</x:v>
      </x:c>
      <x:c r="K183" s="16" t="str"/>
      <x:c r="L183" s="16" t="str">
        <x:v>Drop-in</x:v>
      </x:c>
      <x:c r="M183" s="16" t="str"/>
      <x:c r="N183" s="113" t="str">
        <x:v>https://www.digikey.com/en/products/result?keywords=TLV1117LV33DCYT</x:v>
      </x:c>
    </x:row>
    <x:row r="184">
      <x:c r="A184" s="99" t="n">
        <x:v>46</x:v>
      </x:c>
      <x:c r="B184" s="16" t="str">
        <x:v>U9,U10</x:v>
      </x:c>
      <x:c r="C184" s="16" t="n">
        <x:v>3</x:v>
      </x:c>
      <x:c r="D184" s="16" t="str">
        <x:v>Alternative 2</x:v>
      </x:c>
      <x:c r="E184" s="16" t="str">
        <x:v>Texas Instruments</x:v>
      </x:c>
      <x:c r="F184" s="16" t="str">
        <x:v>TLV76133DCYR</x:v>
      </x:c>
      <x:c r="G184" s="16" t="str"/>
      <x:c r="H184" s="16" t="str">
        <x:v>SOT-223</x:v>
      </x:c>
      <x:c r="I184" s="16" t="str">
        <x:v>3.3 V LDO; TI-listed upgrade path</x:v>
      </x:c>
      <x:c r="J184" s="16" t="str">
        <x:v>High</x:v>
      </x:c>
      <x:c r="K184" s="16" t="str"/>
      <x:c r="L184" s="16" t="str">
        <x:v>Likely pin-compatible; recheck capacitors and thermal</x:v>
      </x:c>
      <x:c r="M184" s="16" t="str"/>
      <x:c r="N184" s="113" t="str">
        <x:v>https://www.digikey.com/en/products/result?keywords=TLV76133DCYR</x:v>
      </x:c>
    </x:row>
    <x:row r="185">
      <x:c r="A185" s="99" t="n">
        <x:v>46</x:v>
      </x:c>
      <x:c r="B185" s="16" t="str">
        <x:v>U9,U10</x:v>
      </x:c>
      <x:c r="C185" s="16" t="n">
        <x:v>4</x:v>
      </x:c>
      <x:c r="D185" s="16" t="str">
        <x:v>Alternative 3</x:v>
      </x:c>
      <x:c r="E185" s="16" t="str">
        <x:v>Diodes Incorporated</x:v>
      </x:c>
      <x:c r="F185" s="16" t="str">
        <x:v>AP1117E33G-13</x:v>
      </x:c>
      <x:c r="G185" s="16" t="str"/>
      <x:c r="H185" s="16" t="str">
        <x:v>SOT-223</x:v>
      </x:c>
      <x:c r="I185" s="16" t="str">
        <x:v>3.3 V, 1 A-class 1117 LDO</x:v>
      </x:c>
      <x:c r="J185" s="16" t="str">
        <x:v>Very high</x:v>
      </x:c>
      <x:c r="K185" s="16" t="str"/>
      <x:c r="L185" s="16" t="str">
        <x:v>Pin-compatible class; higher VIN/IQ and stability differ</x:v>
      </x:c>
      <x:c r="M185" s="16" t="str"/>
      <x:c r="N185" s="113" t="str">
        <x:v>https://www.digikey.com/en/products/result?keywords=AP1117E33G-13</x:v>
      </x:c>
    </x:row>
    <x:row r="186">
      <x:c r="A186" s="99" t="n">
        <x:v>47</x:v>
      </x:c>
      <x:c r="B186" s="16" t="str">
        <x:v>Y2</x:v>
      </x:c>
      <x:c r="C186" s="16" t="n">
        <x:v>1</x:v>
      </x:c>
      <x:c r="D186" s="16" t="str">
        <x:v>Primary</x:v>
      </x:c>
      <x:c r="E186" s="16" t="str">
        <x:v>HCI</x:v>
      </x:c>
      <x:c r="F186" s="16" t="str">
        <x:v>XC53M4-25.000-F18NJDTL</x:v>
      </x:c>
      <x:c r="G186" s="16" t="str">
        <x:v>C2962760</x:v>
      </x:c>
      <x:c r="H186" s="16" t="str">
        <x:v>5032 4-pad</x:v>
      </x:c>
      <x:c r="I186" s="16" t="str">
        <x:v>25 MHz, 18 pF load, 50 Ω class, -40 to 85°C</x:v>
      </x:c>
      <x:c r="J186" s="16" t="str">
        <x:v>JLC listed; order-time stock check</x:v>
      </x:c>
      <x:c r="K186" s="16" t="str"/>
      <x:c r="L186" s="16" t="str">
        <x:v>Drop-in</x:v>
      </x:c>
      <x:c r="M186" s="16" t="str"/>
      <x:c r="N186" s="113" t="str">
        <x:v>https://jlcpcb.com/partdetail/HCI-XC53M4_25000_F18NJDTL/C2962760</x:v>
      </x:c>
    </x:row>
    <x:row r="187">
      <x:c r="A187" s="99" t="n">
        <x:v>47</x:v>
      </x:c>
      <x:c r="B187" s="16" t="str">
        <x:v>Y2</x:v>
      </x:c>
      <x:c r="C187" s="16" t="n">
        <x:v>2</x:v>
      </x:c>
      <x:c r="D187" s="16" t="str">
        <x:v>Alternative 1</x:v>
      </x:c>
      <x:c r="E187" s="16" t="str">
        <x:v>Slkor</x:v>
      </x:c>
      <x:c r="F187" s="16" t="str">
        <x:v>SL503225M18P</x:v>
      </x:c>
      <x:c r="G187" s="16" t="str">
        <x:v>C5155495</x:v>
      </x:c>
      <x:c r="H187" s="16" t="str">
        <x:v>5032 4-pad</x:v>
      </x:c>
      <x:c r="I187" s="16" t="str">
        <x:v>25 MHz, 18 pF load, ~40 Ω, -20 to 70°C</x:v>
      </x:c>
      <x:c r="J187" s="16" t="str">
        <x:v>JLC stock reported ~981</x:v>
      </x:c>
      <x:c r="K187" s="16" t="str">
        <x:v>~$0.20</x:v>
      </x:c>
      <x:c r="L187" s="16" t="str">
        <x:v>Drop-in if temperature range is acceptable</x:v>
      </x:c>
      <x:c r="M187" s="16" t="str"/>
      <x:c r="N187" s="113" t="str">
        <x:v>https://jlcpcb.com/partdetail/Slkor-SL503225M18P/C5155495</x:v>
      </x:c>
    </x:row>
    <x:row r="188">
      <x:c r="A188" s="99" t="n">
        <x:v>47</x:v>
      </x:c>
      <x:c r="B188" s="16" t="str">
        <x:v>Y2</x:v>
      </x:c>
      <x:c r="C188" s="16" t="n">
        <x:v>3</x:v>
      </x:c>
      <x:c r="D188" s="16" t="str">
        <x:v>Alternative 2</x:v>
      </x:c>
      <x:c r="E188" s="16" t="str">
        <x:v>Abracon</x:v>
      </x:c>
      <x:c r="F188" s="16" t="str">
        <x:v>ABM3C-25.000MHZ-D4Y-T</x:v>
      </x:c>
      <x:c r="G188" s="16" t="str">
        <x:v>C596885</x:v>
      </x:c>
      <x:c r="H188" s="16" t="str">
        <x:v>5032 4-pad</x:v>
      </x:c>
      <x:c r="I188" s="16" t="str">
        <x:v>25 MHz, 18 pF load, 50 Ω, -40 to 85°C</x:v>
      </x:c>
      <x:c r="J188" s="16" t="str">
        <x:v>JLC stock was extremely low at research time</x:v>
      </x:c>
      <x:c r="K188" s="16" t="str">
        <x:v>~$0.46</x:v>
      </x:c>
      <x:c r="L188" s="16" t="str">
        <x:v>Drop-in</x:v>
      </x:c>
      <x:c r="M188" s="16" t="str"/>
      <x:c r="N188" s="113" t="str">
        <x:v>https://jlcpcb.com/partdetail/Abracon-ABM3C_25000MHZ_D4Y_T/C596885</x:v>
      </x:c>
    </x:row>
    <x:row r="189">
      <x:c r="A189" s="101" t="n">
        <x:v>47</x:v>
      </x:c>
      <x:c r="B189" s="102" t="str">
        <x:v>Y2</x:v>
      </x:c>
      <x:c r="C189" s="102" t="n">
        <x:v>4</x:v>
      </x:c>
      <x:c r="D189" s="102" t="str">
        <x:v>Alternative 3</x:v>
      </x:c>
      <x:c r="E189" s="102" t="str">
        <x:v>Abracon</x:v>
      </x:c>
      <x:c r="F189" s="102" t="str">
        <x:v>ABM3B-25.000MHZ-D-4-H-T</x:v>
      </x:c>
      <x:c r="G189" s="102" t="str">
        <x:v>C5936389</x:v>
      </x:c>
      <x:c r="H189" s="102" t="str">
        <x:v>5032 4-pad</x:v>
      </x:c>
      <x:c r="I189" s="102" t="str">
        <x:v>25 MHz crystal; verify CL/ESR exact suffix</x:v>
      </x:c>
      <x:c r="J189" s="102" t="str">
        <x:v>Low/variable</x:v>
      </x:c>
      <x:c r="K189" s="102" t="str"/>
      <x:c r="L189" s="102" t="str">
        <x:v>Drop-in only if CL/ESR meet W5500 design</x:v>
      </x:c>
      <x:c r="M189" s="102" t="str"/>
      <x:c r="N189" s="115" t="str">
        <x:v>https://jlcpcb.com/partdetail/Abracon-ABM3B_25000MHZ_D_4_H_T/C5936389</x:v>
      </x:c>
    </x:row>
  </x:sheetData>
  <x:pageMargins left="0.7" right="0.7" top="0.75" bottom="0.75" header="0.3" footer="0.3"/>
  <x:tableParts count="1">
    <x:tablePart xmlns:r="http://schemas.openxmlformats.org/officeDocument/2006/relationships" r:id="Rc026b06b45754d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44" hidden="0" customWidth="1"/>
    <x:col min="4" max="4" width="46" hidden="0" customWidth="1"/>
    <x:col min="5" max="5" width="52" hidden="0" customWidth="1"/>
    <x:col min="6" max="6" width="48" hidden="0" customWidth="1"/>
  </x:cols>
  <x:sheetData>
    <x:row r="1" ht="34" customHeight="1">
      <x:c r="A1" s="96" t="str">
        <x:v>Priority</x:v>
      </x:c>
      <x:c r="B1" s="97" t="str">
        <x:v>Reference / Area</x:v>
      </x:c>
      <x:c r="C1" s="97" t="str">
        <x:v>Issue</x:v>
      </x:c>
      <x:c r="D1" s="97" t="str">
        <x:v>Why It Matters</x:v>
      </x:c>
      <x:c r="E1" s="97" t="str">
        <x:v>Required Fix Before Release</x:v>
      </x:c>
      <x:c r="F1" s="98" t="str">
        <x:v>Evidence / Source</x:v>
      </x:c>
    </x:row>
    <x:row r="2">
      <x:c r="A2" s="99" t="str">
        <x:v>P0</x:v>
      </x:c>
      <x:c r="B2" s="16" t="str">
        <x:v>U7 input TVS</x:v>
      </x:c>
      <x:c r="C2" s="16" t="str">
        <x:v>TVS1800 has 18 V standoff and ~24.7 V maximum clamp; TPS63070 specified input range ends at 16 V.</x:v>
      </x:c>
      <x:c r="D2" s="16" t="str">
        <x:v>The surge clamp is not coordinated to protect the buck-boost input. Stock availability does not make this electrically safe.</x:v>
      </x:c>
      <x:c r="E2" s="16" t="str">
        <x:v>Rework the input protection network. TVS1400 is footprint-compatible and better, but still validate clamp voltage at the real surge current with fuse/series impedance and converter absolute maximum.</x:v>
      </x:c>
      <x:c r="F2" s="113" t="str">
        <x:v>https://www.ti.com/product/TVS1800/part-details/TVS1800DRVR | https://www.ti.com/product/TPS63070</x:v>
      </x:c>
    </x:row>
    <x:row r="3">
      <x:c r="A3" s="99" t="str">
        <x:v>P0</x:v>
      </x:c>
      <x:c r="B3" s="16" t="str">
        <x:v>F1-F5</x:v>
      </x:c>
      <x:c r="C3" s="16" t="str">
        <x:v>0685T5000(-01) is a 1206 fuse family while the BOM uses an 0805 footprint.</x:v>
      </x:c>
      <x:c r="D3" s="16" t="str">
        <x:v>The part will not physically fit; the board cannot be assembled correctly.</x:v>
      </x:c>
      <x:c r="E3" s="16" t="str">
        <x:v>Change each footprint to 1206, then verify fuse speed, voltage and interrupt rating.</x:v>
      </x:c>
      <x:c r="F3" s="113" t="str">
        <x:v>https://www.digikey.com/en/products/detail/bel-fuse-inc/0685T5000-01/4967966</x:v>
      </x:c>
    </x:row>
    <x:row r="4">
      <x:c r="A4" s="99" t="str">
        <x:v>P0</x:v>
      </x:c>
      <x:c r="B4" s="16" t="str">
        <x:v>J3</x:v>
      </x:c>
      <x:c r="C4" s="16" t="str">
        <x:v>B4B-PH-SM4-TB is a 2.0 mm SMT JST-PH connector, but the footprint is 1x4 2.54 mm THT.</x:v>
      </x:c>
      <x:c r="D4" s="16" t="str">
        <x:v>Completely different pitch, mounting style and mating system.</x:v>
      </x:c>
      <x:c r="E4" s="16" t="str">
        <x:v>Choose either JST-PH and replace the footprint, or keep the footprint and use a standard 2.54 mm THT header.</x:v>
      </x:c>
      <x:c r="F4" s="113" t="str">
        <x:v>https://jlcpcb.com/partdetail/JST-B4B_PH_SM4_TB_LF_SN/C160354</x:v>
      </x:c>
    </x:row>
    <x:row r="5">
      <x:c r="A5" s="99" t="str">
        <x:v>P0</x:v>
      </x:c>
      <x:c r="B5" s="16" t="str">
        <x:v>SW5, SW6</x:v>
      </x:c>
      <x:c r="C5" s="16" t="str">
        <x:v>PTS815 is a 4.2 x 3.2 mm SMT switch, but the board footprint is a 6 x 6 mm THT switch.</x:v>
      </x:c>
      <x:c r="D5" s="16" t="str">
        <x:v>The named part cannot be installed on the existing pads.</x:v>
      </x:c>
      <x:c r="E5" s="16" t="str">
        <x:v>Either change to an actual 6 x 6 mm THT switch such as B3F-1000 or replace the footprint with the PTS815 SMT land pattern.</x:v>
      </x:c>
      <x:c r="F5" s="113" t="str">
        <x:v>https://jlcpcb.com/partdetail/CK-PTS815SJM250SMTRLFS/C2689510</x:v>
      </x:c>
    </x:row>
    <x:row r="6">
      <x:c r="A6" s="99" t="str">
        <x:v>P0</x:v>
      </x:c>
      <x:c r="B6" s="16" t="str">
        <x:v>D1-D5</x:v>
      </x:c>
      <x:c r="C6" s="16" t="str">
        <x:v>VO-PT2012SEAC is 2012 metric / 0805, but the board footprint is LED 0201.</x:v>
      </x:c>
      <x:c r="D6" s="16" t="str">
        <x:v>The LED is roughly four package generations larger and cannot fit.</x:v>
      </x:c>
      <x:c r="E6" s="16" t="str">
        <x:v>Use a true LED0201 part or change the footprint to 0805. Confirm color and series-current resistor.</x:v>
      </x:c>
      <x:c r="F6" s="113" t="str">
        <x:v>https://www.lcsc.com/search?q=VO-PT2012SEAC</x:v>
      </x:c>
    </x:row>
    <x:row r="7">
      <x:c r="A7" s="99" t="str">
        <x:v>P0</x:v>
      </x:c>
      <x:c r="B7" s="16" t="str">
        <x:v>C1/C2/...; C3/...; C32/...</x:v>
      </x:c>
      <x:c r="C7" s="16" t="str">
        <x:v>Single BOM rows contain multiple physical packages.</x:v>
      </x:c>
      <x:c r="D7" s="16" t="str">
        <x:v>A contract assembler needs one package/MPN per BOM line; a grouped row cannot map reliably to placements.</x:v>
      </x:c>
      <x:c r="E7" s="16" t="str">
        <x:v>Split each group by reference and package, ideally by exporting a KiCad BOM with one resolved footprint per reference.</x:v>
      </x:c>
      <x:c r="F7" s="113" t="str"/>
    </x:row>
    <x:row r="8">
      <x:c r="A8" s="99" t="str">
        <x:v>P1</x:v>
      </x:c>
      <x:c r="B8" s="16" t="str">
        <x:v>C30, C31</x:v>
      </x:c>
      <x:c r="C8" s="16" t="str">
        <x:v>The value is 22 µF, but CL21A106KOQNNNE is a 10 µF / 16 V / 0805 capacitor.</x:v>
      </x:c>
      <x:c r="D8" s="16" t="str">
        <x:v>The current MPN is electrically wrong even though the footprint fits.</x:v>
      </x:c>
      <x:c r="E8" s="16" t="str">
        <x:v>Replace with a 22 µF 0805 part and verify effective capacitance at operating voltage.</x:v>
      </x:c>
      <x:c r="F8" s="113" t="str">
        <x:v>https://www.digikey.com/en/products/detail/samsung-electro-mechanics/CL21A106KOQNNNE/3886754</x:v>
      </x:c>
    </x:row>
    <x:row r="9">
      <x:c r="A9" s="99" t="str">
        <x:v>P1</x:v>
      </x:c>
      <x:c r="B9" s="16" t="str">
        <x:v>K10-K14 relay contacts</x:v>
      </x:c>
      <x:c r="C9" s="16" t="str">
        <x:v>G2RL-1-E published rated DC load is 16 A at 24 VDC resistive; your use is about 48-52 VDC at 2 A.</x:v>
      </x:c>
      <x:c r="D9" s="16" t="str">
        <x:v>The operating point may be inside the DC switching envelope, but it is not the directly published rated-load point and inductive loads are much harder on contacts.</x:v>
      </x:c>
      <x:c r="E9" s="16" t="str">
        <x:v>Validate the manufacturer's DC load curve, load type, electrical life and approvals at 52 VDC/2 A; add contact suppression where required.</x:v>
      </x:c>
      <x:c r="F9" s="113" t="str">
        <x:v>https://components.omron.com/us-en/technical-support/standards-certification</x:v>
      </x:c>
    </x:row>
    <x:row r="10">
      <x:c r="A10" s="99" t="str">
        <x:v>P1</x:v>
      </x:c>
      <x:c r="B10" s="16" t="str">
        <x:v>C5</x:v>
      </x:c>
      <x:c r="C10" s="16" t="str">
        <x:v>4.7 µF in 0201 is a specialty MLCC and loses capacitance under DC bias.</x:v>
      </x:c>
      <x:c r="D10" s="16" t="str">
        <x:v>Ethernet analog/reference behavior can be sensitive to effective capacitance, and 0201 assembly yield is less forgiving.</x:v>
      </x:c>
      <x:c r="E10" s="16" t="str">
        <x:v>Check the exact W5500 requirement and effective-capacitance curve; enlarge to 0402/0603 when possible.</x:v>
      </x:c>
      <x:c r="F10" s="113" t="str">
        <x:v>https://www.digikey.com/en/products/detail/murata-electronics/GRM033R60J475ME05D/16033659</x:v>
      </x:c>
    </x:row>
    <x:row r="11">
      <x:c r="A11" s="99" t="str">
        <x:v>P1</x:v>
      </x:c>
      <x:c r="B11" s="16" t="str">
        <x:v>Y2</x:v>
      </x:c>
      <x:c r="C11" s="16" t="str">
        <x:v>The exact Abracon crystal had very low JLC stock during research.</x:v>
      </x:c>
      <x:c r="D11" s="16" t="str">
        <x:v>A single-source low-stock oscillator component can block assembly.</x:v>
      </x:c>
      <x:c r="E11" s="16" t="str">
        <x:v>Use a qualified 5032, 25 MHz, 18 pF, suitable-ESR second source and confirm the load-cap network.</x:v>
      </x:c>
      <x:c r="F11" s="113" t="str">
        <x:v>https://jlcpcb.com/partdetail/Abracon-ABM3C_25000MHZ_D4Y_T/C596885</x:v>
      </x:c>
    </x:row>
    <x:row r="12">
      <x:c r="A12" s="101" t="str">
        <x:v>P2</x:v>
      </x:c>
      <x:c r="B12" s="102" t="str">
        <x:v>JLC assembly strategy</x:v>
      </x:c>
      <x:c r="C12" s="102" t="str">
        <x:v>Relays, MagJack, barrel jack, terminal blocks and headers are THT/wave-soldered parts.</x:v>
      </x:c>
      <x:c r="D12" s="102" t="str">
        <x:v>They can drive assembly fees, minimums and lead time even when unit prices are low.</x:v>
      </x:c>
      <x:c r="E12" s="102" t="str">
        <x:v>Price the exact JLC PCBA configuration and consider hand/secondary assembly for awkward or unavailable THT parts.</x:v>
      </x:c>
      <x:c r="F12" s="115" t="str">
        <x:v>https://jlcpcb.com/parts/in-stock-parts</x:v>
      </x:c>
    </x:row>
  </x:sheetData>
  <x:conditionalFormatting sqref="A2:A12">
    <x:cfRule type="expression" dxfId="6" priority="1">
      <x:formula>A2="P0"</x:formula>
    </x:cfRule>
    <x:cfRule type="expression" dxfId="7" priority="2">
      <x:formula>A2="P1"</x:formula>
    </x:cfRule>
    <x:cfRule type="expression" dxfId="8" priority="3">
      <x:formula>A2="P2"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057e6ca0b741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14" hidden="0" customWidth="1"/>
    <x:col min="5" max="5" width="30" hidden="0" customWidth="1"/>
    <x:col min="6" max="6" width="7" hidden="0" customWidth="1"/>
    <x:col min="7" max="7" width="20" hidden="0" customWidth="1"/>
    <x:col min="8" max="8" width="52" hidden="0" customWidth="1"/>
  </x:cols>
  <x:sheetData>
    <x:row r="1" ht="34" customHeight="1">
      <x:c r="A1" s="96" t="str">
        <x:v>Comment / Value</x:v>
      </x:c>
      <x:c r="B1" s="97" t="str">
        <x:v>Designator</x:v>
      </x:c>
      <x:c r="C1" s="97" t="str">
        <x:v>Footprint</x:v>
      </x:c>
      <x:c r="D1" s="97" t="str">
        <x:v>LCSC Part #</x:v>
      </x:c>
      <x:c r="E1" s="97" t="str">
        <x:v>Manufacturer Part #</x:v>
      </x:c>
      <x:c r="F1" s="97" t="str">
        <x:v>Qty</x:v>
      </x:c>
      <x:c r="G1" s="97" t="str">
        <x:v>Release Status</x:v>
      </x:c>
      <x:c r="H1" s="98" t="str">
        <x:v>Procurement Note</x:v>
      </x:c>
    </x:row>
    <x:row r="2">
      <x:c r="A2" s="99" t="str">
        <x:v>10uF</x:v>
      </x:c>
      <x:c r="B2" s="16" t="str">
        <x:v>C1,C2,C8,C26,C27,C28,C29</x:v>
      </x:c>
      <x:c r="C2" s="16" t="str">
        <x:v>Capacitor_SMD:C_0603_1608Metric,Capacitor_SMD:C_0805_2012Metric</x:v>
      </x:c>
      <x:c r="D2" s="16" t="str"/>
      <x:c r="E2" s="16" t="str">
        <x:v>CL21A106KOQNNNE</x:v>
      </x:c>
      <x:c r="F2" s="16" t="n">
        <x:v>7</x:v>
      </x:c>
      <x:c r="G2" s="16" t="str">
        <x:v>BLOCKER</x:v>
      </x:c>
      <x:c r="H2" s="100" t="str">
        <x:v>Split by footprint and rail voltage before ordering. One MPN cannot fit both 0603 and 0805.</x:v>
      </x:c>
    </x:row>
    <x:row r="3">
      <x:c r="A3" s="99" t="str">
        <x:v>0.1uF</x:v>
      </x:c>
      <x:c r="B3" s="16" t="str">
        <x:v>C3,C4,C7,C11,C12,C13,C14,C15,C16</x:v>
      </x:c>
      <x:c r="C3" s="16" t="str">
        <x:v>Capacitor_SMD:C_0201_0603Metric,Capacitor_SMD:C_0402_1005Metric,Capacitor_SMD:C_0603_1608Metric</x:v>
      </x:c>
      <x:c r="D3" s="16" t="str"/>
      <x:c r="E3" s="16" t="str">
        <x:v>CC0603KRX7R9BB104</x:v>
      </x:c>
      <x:c r="F3" s="16" t="n">
        <x:v>9</x:v>
      </x:c>
      <x:c r="G3" s="16" t="str">
        <x:v>BLOCKER</x:v>
      </x:c>
      <x:c r="H3" s="100" t="str">
        <x:v>Split into 0201, 0402 and 0603 BOM lines. Primary shown is 0603; choose the package-specific candidate per reference.</x:v>
      </x:c>
    </x:row>
    <x:row r="4">
      <x:c r="A4" s="99" t="str">
        <x:v>4.7uF - Eth Reference Cap</x:v>
      </x:c>
      <x:c r="B4" s="16" t="str">
        <x:v>C5</x:v>
      </x:c>
      <x:c r="C4" s="16" t="str">
        <x:v>Capacitor_SMD:C_0201_0603Metric</x:v>
      </x:c>
      <x:c r="D4" s="16" t="str"/>
      <x:c r="E4" s="16" t="str">
        <x:v>GRM033R60J475ME05D</x:v>
      </x:c>
      <x:c r="F4" s="16" t="n">
        <x:v>1</x:v>
      </x:c>
      <x:c r="G4" s="16" t="str">
        <x:v>VERIFY</x:v>
      </x:c>
      <x:c r="H4" s="100" t="str">
        <x:v>4.7 µF in 0201 is specialty and strongly DC-bias dependent. Confirm the W5500 reference node voltage and effective capacitance; 0402/0603 is safer if layout permits.</x:v>
      </x:c>
    </x:row>
    <x:row r="5">
      <x:c r="A5" s="99" t="str">
        <x:v>22nF</x:v>
      </x:c>
      <x:c r="B5" s="16" t="str">
        <x:v>C6</x:v>
      </x:c>
      <x:c r="C5" s="16" t="str">
        <x:v>Capacitor_SMD:C_0201_0603Metric</x:v>
      </x:c>
      <x:c r="D5" s="16" t="str"/>
      <x:c r="E5" s="16" t="str">
        <x:v>GRM033R71H223KA12D</x:v>
      </x:c>
      <x:c r="F5" s="16" t="n">
        <x:v>1</x:v>
      </x:c>
      <x:c r="G5" s="16" t="str">
        <x:v>READY</x:v>
      </x:c>
      <x:c r="H5" s="100" t="str">
        <x:v>Order-time stock check required.</x:v>
      </x:c>
    </x:row>
    <x:row r="6">
      <x:c r="A6" s="99" t="str">
        <x:v>100uF - Electrolytic</x:v>
      </x:c>
      <x:c r="B6" s="16" t="str">
        <x:v>C9</x:v>
      </x:c>
      <x:c r="C6" s="16" t="str">
        <x:v>Capacitor_SMD:C_Elec_6.3x7.7</x:v>
      </x:c>
      <x:c r="D6" s="16" t="str"/>
      <x:c r="E6" s="16" t="str">
        <x:v>EEE-FK1E101P</x:v>
      </x:c>
      <x:c r="F6" s="16" t="n">
        <x:v>1</x:v>
      </x:c>
      <x:c r="G6" s="16" t="str">
        <x:v>VERIFY</x:v>
      </x:c>
      <x:c r="H6" s="100" t="str">
        <x:v>Assumed 12 V input bulk capacitor; use ≥25 V and verify ESR/ripple-current and exact 6.3 x 7.7 mm land pattern.</x:v>
      </x:c>
    </x:row>
    <x:row r="7">
      <x:c r="A7" s="99" t="str">
        <x:v>100nF - Ceramic</x:v>
      </x:c>
      <x:c r="B7" s="16" t="str">
        <x:v>C10</x:v>
      </x:c>
      <x:c r="C7" s="16" t="str">
        <x:v>Capacitor_SMD:C_0603_1608Metric</x:v>
      </x:c>
      <x:c r="D7" s="16" t="str"/>
      <x:c r="E7" s="16" t="str">
        <x:v>CC0603KRX7R9BB104</x:v>
      </x:c>
      <x:c r="F7" s="16" t="n">
        <x:v>1</x:v>
      </x:c>
      <x:c r="G7" s="16" t="str">
        <x:v>READY</x:v>
      </x:c>
      <x:c r="H7" s="100" t="str">
        <x:v>Order-time stock check required.</x:v>
      </x:c>
    </x:row>
    <x:row r="8">
      <x:c r="A8" s="99" t="str">
        <x:v>6.8nF</x:v>
      </x:c>
      <x:c r="B8" s="16" t="str">
        <x:v>C17,C19</x:v>
      </x:c>
      <x:c r="C8" s="16" t="str">
        <x:v>Capacitor_SMD:C_0201_0603Metric</x:v>
      </x:c>
      <x:c r="D8" s="16" t="str"/>
      <x:c r="E8" s="16" t="str">
        <x:v>GRM033R71H682KA12D</x:v>
      </x:c>
      <x:c r="F8" s="16" t="n">
        <x:v>2</x:v>
      </x:c>
      <x:c r="G8" s="16" t="str">
        <x:v>READY</x:v>
      </x:c>
      <x:c r="H8" s="100" t="str">
        <x:v>Order-time stock check required.</x:v>
      </x:c>
    </x:row>
    <x:row r="9">
      <x:c r="A9" s="99" t="str">
        <x:v>10uF / 16V</x:v>
      </x:c>
      <x:c r="B9" s="16" t="str">
        <x:v>C18</x:v>
      </x:c>
      <x:c r="C9" s="16" t="str">
        <x:v>Capacitor_SMD:C_0805_2012Metric</x:v>
      </x:c>
      <x:c r="D9" s="16" t="str"/>
      <x:c r="E9" s="16" t="str">
        <x:v>CL21A106KOQNNNE</x:v>
      </x:c>
      <x:c r="F9" s="16" t="n">
        <x:v>1</x:v>
      </x:c>
      <x:c r="G9" s="16" t="str">
        <x:v>READY</x:v>
      </x:c>
      <x:c r="H9" s="100" t="str">
        <x:v>Order-time stock check required.</x:v>
      </x:c>
    </x:row>
    <x:row r="10">
      <x:c r="A10" s="99" t="str">
        <x:v>10nF</x:v>
      </x:c>
      <x:c r="B10" s="16" t="str">
        <x:v>C20,C23</x:v>
      </x:c>
      <x:c r="C10" s="16" t="str">
        <x:v>Capacitor_SMD:C_0201_0603Metric</x:v>
      </x:c>
      <x:c r="D10" s="16" t="str"/>
      <x:c r="E10" s="16" t="str">
        <x:v>GRM033R71H103KA12D</x:v>
      </x:c>
      <x:c r="F10" s="16" t="n">
        <x:v>2</x:v>
      </x:c>
      <x:c r="G10" s="16" t="str">
        <x:v>READY</x:v>
      </x:c>
      <x:c r="H10" s="100" t="str">
        <x:v>Order-time stock check required.</x:v>
      </x:c>
    </x:row>
    <x:row r="11">
      <x:c r="A11" s="99" t="str">
        <x:v>18pF</x:v>
      </x:c>
      <x:c r="B11" s="16" t="str">
        <x:v>C21,C22</x:v>
      </x:c>
      <x:c r="C11" s="16" t="str">
        <x:v>Capacitor_SMD:C_0201_0603Metric</x:v>
      </x:c>
      <x:c r="D11" s="16" t="str"/>
      <x:c r="E11" s="16" t="str">
        <x:v>GRM0335C1H180JA01D</x:v>
      </x:c>
      <x:c r="F11" s="16" t="n">
        <x:v>2</x:v>
      </x:c>
      <x:c r="G11" s="16" t="str">
        <x:v>READY</x:v>
      </x:c>
      <x:c r="H11" s="100" t="str">
        <x:v>Order-time stock check required.</x:v>
      </x:c>
    </x:row>
    <x:row r="12">
      <x:c r="A12" s="99" t="str">
        <x:v>1uF - Ceramic</x:v>
      </x:c>
      <x:c r="B12" s="16" t="str">
        <x:v>C24</x:v>
      </x:c>
      <x:c r="C12" s="16" t="str">
        <x:v>Capacitor_SMD:C_0805_2012Metric</x:v>
      </x:c>
      <x:c r="D12" s="16" t="str"/>
      <x:c r="E12" s="16" t="str">
        <x:v>CL21A105KAFNNNE</x:v>
      </x:c>
      <x:c r="F12" s="16" t="n">
        <x:v>1</x:v>
      </x:c>
      <x:c r="G12" s="16" t="str">
        <x:v>READY</x:v>
      </x:c>
      <x:c r="H12" s="100" t="str">
        <x:v>Order-time stock check required.</x:v>
      </x:c>
    </x:row>
    <x:row r="13">
      <x:c r="A13" s="99" t="str">
        <x:v>100nF</x:v>
      </x:c>
      <x:c r="B13" s="16" t="str">
        <x:v>C25</x:v>
      </x:c>
      <x:c r="C13" s="16" t="str">
        <x:v>Capacitor_SMD:C_0201_0603Metric</x:v>
      </x:c>
      <x:c r="D13" s="16" t="str"/>
      <x:c r="E13" s="16" t="str">
        <x:v>GRM033R71E104KE14D</x:v>
      </x:c>
      <x:c r="F13" s="16" t="n">
        <x:v>1</x:v>
      </x:c>
      <x:c r="G13" s="16" t="str">
        <x:v>READY</x:v>
      </x:c>
      <x:c r="H13" s="100" t="str">
        <x:v>Order-time stock check required.</x:v>
      </x:c>
    </x:row>
    <x:row r="14">
      <x:c r="A14" s="99" t="str">
        <x:v>22uF</x:v>
      </x:c>
      <x:c r="B14" s="16" t="str">
        <x:v>C30,C31</x:v>
      </x:c>
      <x:c r="C14" s="16" t="str">
        <x:v>Capacitor_SMD:C_0805_2012Metric</x:v>
      </x:c>
      <x:c r="D14" s="16" t="str"/>
      <x:c r="E14" s="16" t="str">
        <x:v>GRM21BR61A226ME44K</x:v>
      </x:c>
      <x:c r="F14" s="16" t="n">
        <x:v>2</x:v>
      </x:c>
      <x:c r="G14" s="16" t="str">
        <x:v>BLOCKER</x:v>
      </x:c>
      <x:c r="H14" s="100" t="str">
        <x:v>The listed Samsung MPN is 10 µF, not 22 µF. Replace the MPN and verify 10 V rating/effective capacitance is sufficient.</x:v>
      </x:c>
    </x:row>
    <x:row r="15">
      <x:c r="A15" s="99" t="str">
        <x:v>1uF</x:v>
      </x:c>
      <x:c r="B15" s="16" t="str">
        <x:v>C32,C33,C34,C35,C36,C37</x:v>
      </x:c>
      <x:c r="C15" s="16" t="str">
        <x:v>Capacitor_SMD:C_0402_1005Metric,Capacitor_SMD:C_0805_2012Metric</x:v>
      </x:c>
      <x:c r="D15" s="16" t="str"/>
      <x:c r="E15" s="16" t="str">
        <x:v>GRM155R61A105KE15D</x:v>
      </x:c>
      <x:c r="F15" s="16" t="n">
        <x:v>6</x:v>
      </x:c>
      <x:c r="G15" s="16" t="str">
        <x:v>BLOCKER</x:v>
      </x:c>
      <x:c r="H15" s="100" t="str">
        <x:v>Split 0402 and 0805 references into separate BOM lines.</x:v>
      </x:c>
    </x:row>
    <x:row r="16">
      <x:c r="A16" s="99" t="str">
        <x:v>LED VO-PT2012SEAC</x:v>
      </x:c>
      <x:c r="B16" s="16" t="str">
        <x:v>D1,D2,D3,D4,D5</x:v>
      </x:c>
      <x:c r="C16" s="16" t="str">
        <x:v>LED_SMD:LED_0201_0603Metric</x:v>
      </x:c>
      <x:c r="D16" s="16" t="str">
        <x:v>C20617265</x:v>
      </x:c>
      <x:c r="E16" s="16" t="str">
        <x:v>LTST-FC03AD-5A</x:v>
      </x:c>
      <x:c r="F16" s="16" t="n">
        <x:v>5</x:v>
      </x:c>
      <x:c r="G16" s="16" t="str">
        <x:v>BLOCKER</x:v>
      </x:c>
      <x:c r="H16" s="100" t="str">
        <x:v>VO-PT2012SEAC is a 2012/0805 LED and cannot fit the 0201 footprint. The candidates are actual 0201 LEDs; confirm desired color and resistor current.</x:v>
      </x:c>
    </x:row>
    <x:row r="17">
      <x:c r="A17" s="99" t="str">
        <x:v>LED</x:v>
      </x:c>
      <x:c r="B17" s="16" t="str">
        <x:v>D6</x:v>
      </x:c>
      <x:c r="C17" s="16" t="str">
        <x:v>LED_SMD:LED_0201_0603Metric</x:v>
      </x:c>
      <x:c r="D17" s="16" t="str">
        <x:v>C20617267</x:v>
      </x:c>
      <x:c r="E17" s="16" t="str">
        <x:v>LTST-FC03ED-5A</x:v>
      </x:c>
      <x:c r="F17" s="16" t="n">
        <x:v>1</x:v>
      </x:c>
      <x:c r="G17" s="16" t="str">
        <x:v>VERIFY</x:v>
      </x:c>
      <x:c r="H17" s="100" t="str">
        <x:v>No color specified. Pick a 0201 LED color and verify polarity/Vf with the series resistor.</x:v>
      </x:c>
    </x:row>
    <x:row r="18">
      <x:c r="A18" s="99" t="str">
        <x:v>0685T5000</x:v>
      </x:c>
      <x:c r="B18" s="16" t="str">
        <x:v>F1,F2,F5</x:v>
      </x:c>
      <x:c r="C18" s="16" t="str">
        <x:v>Fuse:Fuse_0805_2012Metric</x:v>
      </x:c>
      <x:c r="D18" s="16" t="str"/>
      <x:c r="E18" s="16" t="str">
        <x:v>0685T5000-01</x:v>
      </x:c>
      <x:c r="F18" s="16" t="n">
        <x:v>3</x:v>
      </x:c>
      <x:c r="G18" s="16" t="str">
        <x:v>BLOCKER</x:v>
      </x:c>
      <x:c r="H18" s="100" t="str">
        <x:v>Bel 0685T5000 is a 1206-family fuse, not 0805. Change footprint to 1206 and verify slow-blow behavior/interrupt rating.</x:v>
      </x:c>
    </x:row>
    <x:row r="19">
      <x:c r="A19" s="99" t="str">
        <x:v>0685T5000-01</x:v>
      </x:c>
      <x:c r="B19" s="16" t="str">
        <x:v>F3,F4</x:v>
      </x:c>
      <x:c r="C19" s="16" t="str">
        <x:v>Fuse:Fuse_0805_2012Metric</x:v>
      </x:c>
      <x:c r="D19" s="16" t="str"/>
      <x:c r="E19" s="16" t="str">
        <x:v>0685T5000-01</x:v>
      </x:c>
      <x:c r="F19" s="16" t="n">
        <x:v>2</x:v>
      </x:c>
      <x:c r="G19" s="16" t="str">
        <x:v>BLOCKER</x:v>
      </x:c>
      <x:c r="H19" s="100" t="str">
        <x:v>0685T5000-01 is 1206, not 0805. Change footprint to 1206.</x:v>
      </x:c>
    </x:row>
    <x:row r="20">
      <x:c r="A20" s="99" t="str">
        <x:v>12</x:v>
      </x:c>
      <x:c r="B20" s="16" t="str">
        <x:v>J1</x:v>
      </x:c>
      <x:c r="C20" s="16" t="str">
        <x:v>Connector_BarrelJack:BarrelJack_CUI_PJ-102AH_Horizontal</x:v>
      </x:c>
      <x:c r="D20" s="16" t="str">
        <x:v>C9900001188</x:v>
      </x:c>
      <x:c r="E20" s="16" t="str">
        <x:v>PJ-102AH</x:v>
      </x:c>
      <x:c r="F20" s="16" t="n">
        <x:v>1</x:v>
      </x:c>
      <x:c r="G20" s="16" t="str">
        <x:v>VERIFY</x:v>
      </x:c>
      <x:c r="H20" s="100" t="str">
        <x:v>Exact jack can be sourced, but JLC availability may require pre-order/consignment. Confirm adapter plug size, polarity, current, and switched-pin use.</x:v>
      </x:c>
    </x:row>
    <x:row r="21">
      <x:c r="A21" s="99" t="str">
        <x:v>RJ45_Hanrun_HR911105A_Horizontal</x:v>
      </x:c>
      <x:c r="B21" s="16" t="str">
        <x:v>J2</x:v>
      </x:c>
      <x:c r="C21" s="16" t="str">
        <x:v>Connector_RJ:RJ45_Hanrun_HR911105A_Horizontal</x:v>
      </x:c>
      <x:c r="D21" s="16" t="str">
        <x:v>C12074</x:v>
      </x:c>
      <x:c r="E21" s="16" t="str">
        <x:v>HR911105A</x:v>
      </x:c>
      <x:c r="F21" s="16" t="n">
        <x:v>1</x:v>
      </x:c>
      <x:c r="G21" s="16" t="str">
        <x:v>READY</x:v>
      </x:c>
      <x:c r="H21" s="100" t="str">
        <x:v>Draft primary selection; verify stock at quote time.</x:v>
      </x:c>
    </x:row>
    <x:row r="22">
      <x:c r="A22" s="99" t="str">
        <x:v>B4B-PH-SM4-TB</x:v>
      </x:c>
      <x:c r="B22" s="16" t="str">
        <x:v>J3</x:v>
      </x:c>
      <x:c r="C22" s="16" t="str">
        <x:v>Connector_PinHeader_2.54mm:PinHeader_1x04_P2.54mm_Vertical</x:v>
      </x:c>
      <x:c r="D22" s="16" t="str">
        <x:v>C49257</x:v>
      </x:c>
      <x:c r="E22" s="16" t="str">
        <x:v>2.54-1*4P</x:v>
      </x:c>
      <x:c r="F22" s="16" t="n">
        <x:v>1</x:v>
      </x:c>
      <x:c r="G22" s="16" t="str">
        <x:v>BLOCKER</x:v>
      </x:c>
      <x:c r="H22" s="100" t="str">
        <x:v>B4B-PH-SM4-TB is a 2.0 mm SMT JST-PH header, while the footprint is a 2.54 mm THT pin header. Primary below matches the footprint, not the stated JST part.</x:v>
      </x:c>
    </x:row>
    <x:row r="23">
      <x:c r="A23" s="99" t="str">
        <x:v>Screw_Terminal_01x03</x:v>
      </x:c>
      <x:c r="B23" s="16" t="str">
        <x:v>J10,J11,J12,J13,J14</x:v>
      </x:c>
      <x:c r="C23" s="16" t="str">
        <x:v>TerminalBlock:TerminalBlock_MaiXu_MX126-5.0-03P_1x03_P5.00mm</x:v>
      </x:c>
      <x:c r="D23" s="16" t="str">
        <x:v>C5188435</x:v>
      </x:c>
      <x:c r="E23" s="16" t="str">
        <x:v>MX126-5.0-03P-GN01-Cu-S-A</x:v>
      </x:c>
      <x:c r="F23" s="16" t="n">
        <x:v>5</x:v>
      </x:c>
      <x:c r="G23" s="16" t="str">
        <x:v>VERIFY</x:v>
      </x:c>
      <x:c r="H23" s="100" t="str">
        <x:v>Primary matches the named MaiXu footprint. Verify creepage, wire gauge, current, and terminal orientation for 52 VDC contacts.</x:v>
      </x:c>
    </x:row>
    <x:row r="24">
      <x:c r="A24" s="99" t="str">
        <x:v>G2RL-1-E</x:v>
      </x:c>
      <x:c r="B24" s="16" t="str">
        <x:v>K10,K11,K12,K13,K14</x:v>
      </x:c>
      <x:c r="C24" s="16" t="str">
        <x:v>Relay_THT:Relay_SPDT_Omron_G2RL-1-E</x:v>
      </x:c>
      <x:c r="D24" s="16" t="str">
        <x:v>C58243</x:v>
      </x:c>
      <x:c r="E24" s="16" t="str">
        <x:v>G2RL-1-E-DC12</x:v>
      </x:c>
      <x:c r="F24" s="16" t="n">
        <x:v>5</x:v>
      </x:c>
      <x:c r="G24" s="16" t="str">
        <x:v>VERIFY</x:v>
      </x:c>
      <x:c r="H24" s="100" t="str">
        <x:v>The selected relay is directly rated at 16 A/24 VDC resistive and lists 300 VDC maximum switching voltage. Qualify 48-52 VDC at 2 A using the DC load curve, actual load type, required life and applicable approvals.</x:v>
      </x:c>
    </x:row>
    <x:row r="25">
      <x:c r="A25" s="99" t="str">
        <x:v>MH1608-121Y</x:v>
      </x:c>
      <x:c r="B25" s="16" t="str">
        <x:v>L1</x:v>
      </x:c>
      <x:c r="C25" s="16" t="str">
        <x:v>Library:IND_BOURNS_MH1608</x:v>
      </x:c>
      <x:c r="D25" s="16" t="str">
        <x:v>C2650949</x:v>
      </x:c>
      <x:c r="E25" s="16" t="str">
        <x:v>MH1608-121Y</x:v>
      </x:c>
      <x:c r="F25" s="16" t="n">
        <x:v>1</x:v>
      </x:c>
      <x:c r="G25" s="16" t="str">
        <x:v>READY</x:v>
      </x:c>
      <x:c r="H25" s="100" t="str">
        <x:v>Draft primary selection; verify stock at quote time.</x:v>
      </x:c>
    </x:row>
    <x:row r="26">
      <x:c r="A26" s="99" t="str">
        <x:v>XFL4020-152MEC</x:v>
      </x:c>
      <x:c r="B26" s="16" t="str">
        <x:v>L3</x:v>
      </x:c>
      <x:c r="C26" s="16" t="str">
        <x:v>Library:IND_XFL4020_COC-M</x:v>
      </x:c>
      <x:c r="D26" s="16" t="str"/>
      <x:c r="E26" s="16" t="str">
        <x:v>XGL4020-152MEC</x:v>
      </x:c>
      <x:c r="F26" s="16" t="n">
        <x:v>1</x:v>
      </x:c>
      <x:c r="G26" s="16" t="str">
        <x:v>READY</x:v>
      </x:c>
      <x:c r="H26" s="100" t="str">
        <x:v>Order-time stock check required.</x:v>
      </x:c>
    </x:row>
    <x:row r="27">
      <x:c r="A27" s="99" t="str">
        <x:v>2.2k</x:v>
      </x:c>
      <x:c r="B27" s="16" t="str">
        <x:v>R1,R2,R3,R4,R5</x:v>
      </x:c>
      <x:c r="C27" s="16" t="str">
        <x:v>Resistor_SMD:R_0603_1608Metric</x:v>
      </x:c>
      <x:c r="D27" s="16" t="str"/>
      <x:c r="E27" s="16" t="str">
        <x:v>0603WAF2201T5E</x:v>
      </x:c>
      <x:c r="F27" s="16" t="n">
        <x:v>5</x:v>
      </x:c>
      <x:c r="G27" s="16" t="str">
        <x:v>READY</x:v>
      </x:c>
      <x:c r="H27" s="100" t="str">
        <x:v>Order-time stock check required.</x:v>
      </x:c>
    </x:row>
    <x:row r="28">
      <x:c r="A28" s="99" t="str">
        <x:v>12.4k 1% - Ethernet external reference</x:v>
      </x:c>
      <x:c r="B28" s="16" t="str">
        <x:v>R6</x:v>
      </x:c>
      <x:c r="C28" s="16" t="str">
        <x:v>Resistor_SMD:R_0402_1005Metric</x:v>
      </x:c>
      <x:c r="D28" s="16" t="str"/>
      <x:c r="E28" s="16" t="str">
        <x:v>0402WGF1242TCE</x:v>
      </x:c>
      <x:c r="F28" s="16" t="n">
        <x:v>1</x:v>
      </x:c>
      <x:c r="G28" s="16" t="str">
        <x:v>READY</x:v>
      </x:c>
      <x:c r="H28" s="100" t="str">
        <x:v>Order-time stock check required.</x:v>
      </x:c>
    </x:row>
    <x:row r="29">
      <x:c r="A29" s="99" t="str">
        <x:v>33</x:v>
      </x:c>
      <x:c r="B29" s="16" t="str">
        <x:v>R7,R8,R16,R17</x:v>
      </x:c>
      <x:c r="C29" s="16" t="str">
        <x:v>Resistor_SMD:R_0603_1608Metric</x:v>
      </x:c>
      <x:c r="D29" s="16" t="str"/>
      <x:c r="E29" s="16" t="str">
        <x:v>0603WAF330JT5E</x:v>
      </x:c>
      <x:c r="F29" s="16" t="n">
        <x:v>4</x:v>
      </x:c>
      <x:c r="G29" s="16" t="str">
        <x:v>READY</x:v>
      </x:c>
      <x:c r="H29" s="100" t="str">
        <x:v>Order-time stock check required.</x:v>
      </x:c>
    </x:row>
    <x:row r="30">
      <x:c r="A30" s="99" t="str">
        <x:v>330</x:v>
      </x:c>
      <x:c r="B30" s="16" t="str">
        <x:v>R9,R15,R29</x:v>
      </x:c>
      <x:c r="C30" s="16" t="str">
        <x:v>Resistor_SMD:R_0603_1608Metric</x:v>
      </x:c>
      <x:c r="D30" s="16" t="str"/>
      <x:c r="E30" s="16" t="str">
        <x:v>0603WAF3300T5E</x:v>
      </x:c>
      <x:c r="F30" s="16" t="n">
        <x:v>3</x:v>
      </x:c>
      <x:c r="G30" s="16" t="str">
        <x:v>READY</x:v>
      </x:c>
      <x:c r="H30" s="100" t="str">
        <x:v>Order-time stock check required.</x:v>
      </x:c>
    </x:row>
    <x:row r="31">
      <x:c r="A31" s="99" t="str">
        <x:v>100k</x:v>
      </x:c>
      <x:c r="B31" s="16" t="str">
        <x:v>R10,R11,R12,R13,R14</x:v>
      </x:c>
      <x:c r="C31" s="16" t="str">
        <x:v>Resistor_SMD:R_0603_1608Metric</x:v>
      </x:c>
      <x:c r="D31" s="16" t="str"/>
      <x:c r="E31" s="16" t="str">
        <x:v>0603WAF1003T5E</x:v>
      </x:c>
      <x:c r="F31" s="16" t="n">
        <x:v>5</x:v>
      </x:c>
      <x:c r="G31" s="16" t="str">
        <x:v>READY</x:v>
      </x:c>
      <x:c r="H31" s="100" t="str">
        <x:v>Order-time stock check required.</x:v>
      </x:c>
    </x:row>
    <x:row r="32">
      <x:c r="A32" s="99" t="str">
        <x:v>49.9 1%</x:v>
      </x:c>
      <x:c r="B32" s="16" t="str">
        <x:v>R18,R19,R21,R22</x:v>
      </x:c>
      <x:c r="C32" s="16" t="str">
        <x:v>Resistor_SMD:R_0201_0603Metric</x:v>
      </x:c>
      <x:c r="D32" s="16" t="str"/>
      <x:c r="E32" s="16" t="str">
        <x:v>0201WMF499JTCE</x:v>
      </x:c>
      <x:c r="F32" s="16" t="n">
        <x:v>4</x:v>
      </x:c>
      <x:c r="G32" s="16" t="str">
        <x:v>READY</x:v>
      </x:c>
      <x:c r="H32" s="100" t="str">
        <x:v>Order-time stock check required.</x:v>
      </x:c>
    </x:row>
    <x:row r="33">
      <x:c r="A33" s="99" t="str">
        <x:v>10 1%</x:v>
      </x:c>
      <x:c r="B33" s="16" t="str">
        <x:v>R20</x:v>
      </x:c>
      <x:c r="C33" s="16" t="str">
        <x:v>Resistor_SMD:R_0201_0603Metric</x:v>
      </x:c>
      <x:c r="D33" s="16" t="str"/>
      <x:c r="E33" s="16" t="str">
        <x:v>0201WMF100JTCE</x:v>
      </x:c>
      <x:c r="F33" s="16" t="n">
        <x:v>1</x:v>
      </x:c>
      <x:c r="G33" s="16" t="str">
        <x:v>READY</x:v>
      </x:c>
      <x:c r="H33" s="100" t="str">
        <x:v>Order-time stock check required.</x:v>
      </x:c>
    </x:row>
    <x:row r="34">
      <x:c r="A34" s="99" t="str">
        <x:v>0</x:v>
      </x:c>
      <x:c r="B34" s="16" t="str">
        <x:v>R23</x:v>
      </x:c>
      <x:c r="C34" s="16" t="str">
        <x:v>Resistor_SMD:R_0402_1005Metric</x:v>
      </x:c>
      <x:c r="D34" s="16" t="str"/>
      <x:c r="E34" s="16" t="str">
        <x:v>0402WGJ0000TCE</x:v>
      </x:c>
      <x:c r="F34" s="16" t="n">
        <x:v>1</x:v>
      </x:c>
      <x:c r="G34" s="16" t="str">
        <x:v>READY</x:v>
      </x:c>
      <x:c r="H34" s="100" t="str">
        <x:v>Order-time stock check required.</x:v>
      </x:c>
    </x:row>
    <x:row r="35">
      <x:c r="A35" s="99" t="str">
        <x:v>1M</x:v>
      </x:c>
      <x:c r="B35" s="16" t="str">
        <x:v>R24</x:v>
      </x:c>
      <x:c r="C35" s="16" t="str">
        <x:v>Resistor_SMD:R_0402_1005Metric</x:v>
      </x:c>
      <x:c r="D35" s="16" t="str"/>
      <x:c r="E35" s="16" t="str">
        <x:v>0402WGF1004TCE</x:v>
      </x:c>
      <x:c r="F35" s="16" t="n">
        <x:v>1</x:v>
      </x:c>
      <x:c r="G35" s="16" t="str">
        <x:v>READY</x:v>
      </x:c>
      <x:c r="H35" s="100" t="str">
        <x:v>Order-time stock check required.</x:v>
      </x:c>
    </x:row>
    <x:row r="36">
      <x:c r="A36" s="99" t="str">
        <x:v>10k</x:v>
      </x:c>
      <x:c r="B36" s="16" t="str">
        <x:v>R25</x:v>
      </x:c>
      <x:c r="C36" s="16" t="str">
        <x:v>Resistor_SMD:R_0603_1608Metric</x:v>
      </x:c>
      <x:c r="D36" s="16" t="str"/>
      <x:c r="E36" s="16" t="str">
        <x:v>0603WAF1002T5E</x:v>
      </x:c>
      <x:c r="F36" s="16" t="n">
        <x:v>1</x:v>
      </x:c>
      <x:c r="G36" s="16" t="str">
        <x:v>READY</x:v>
      </x:c>
      <x:c r="H36" s="100" t="str">
        <x:v>Order-time stock check required.</x:v>
      </x:c>
    </x:row>
    <x:row r="37">
      <x:c r="A37" s="99" t="str">
        <x:v>10kΩ</x:v>
      </x:c>
      <x:c r="B37" s="16" t="str">
        <x:v>R26</x:v>
      </x:c>
      <x:c r="C37" s="16" t="str">
        <x:v>Resistor_SMD:R_0402_1005Metric</x:v>
      </x:c>
      <x:c r="D37" s="16" t="str"/>
      <x:c r="E37" s="16" t="str">
        <x:v>0402WGF1002TCE</x:v>
      </x:c>
      <x:c r="F37" s="16" t="n">
        <x:v>1</x:v>
      </x:c>
      <x:c r="G37" s="16" t="str">
        <x:v>READY</x:v>
      </x:c>
      <x:c r="H37" s="100" t="str">
        <x:v>Order-time stock check required.</x:v>
      </x:c>
    </x:row>
    <x:row r="38">
      <x:c r="A38" s="99" t="str">
        <x:v>100kΩ</x:v>
      </x:c>
      <x:c r="B38" s="16" t="str">
        <x:v>R28</x:v>
      </x:c>
      <x:c r="C38" s="16" t="str">
        <x:v>Resistor_SMD:R_0603_1608Metric</x:v>
      </x:c>
      <x:c r="D38" s="16" t="str"/>
      <x:c r="E38" s="16" t="str">
        <x:v>0603WAF1003T5E</x:v>
      </x:c>
      <x:c r="F38" s="16" t="n">
        <x:v>1</x:v>
      </x:c>
      <x:c r="G38" s="16" t="str">
        <x:v>READY</x:v>
      </x:c>
      <x:c r="H38" s="100" t="str">
        <x:v>Order-time stock check required.</x:v>
      </x:c>
    </x:row>
    <x:row r="39">
      <x:c r="A39" s="99" t="str">
        <x:v>ENABLE</x:v>
      </x:c>
      <x:c r="B39" s="16" t="str">
        <x:v>SW5</x:v>
      </x:c>
      <x:c r="C39" s="16" t="str">
        <x:v>Button_Switch_THT:SW_PUSH_6mm_H5mm</x:v>
      </x:c>
      <x:c r="D39" s="16" t="str"/>
      <x:c r="E39" s="16" t="str">
        <x:v>B3F-1000</x:v>
      </x:c>
      <x:c r="F39" s="16" t="n">
        <x:v>1</x:v>
      </x:c>
      <x:c r="G39" s="16" t="str">
        <x:v>BLOCKER</x:v>
      </x:c>
      <x:c r="H39" s="100" t="str">
        <x:v>PTS815 is a 4.2 x 3.2 mm SMT switch; the PCB footprint is a 6 x 6 mm THT switch. Primary below matches the current footprint.</x:v>
      </x:c>
    </x:row>
    <x:row r="40">
      <x:c r="A40" s="99" t="str">
        <x:v>RESET</x:v>
      </x:c>
      <x:c r="B40" s="16" t="str">
        <x:v>SW6</x:v>
      </x:c>
      <x:c r="C40" s="16" t="str">
        <x:v>Button_Switch_THT:SW_PUSH_6mm_H5mm</x:v>
      </x:c>
      <x:c r="D40" s="16" t="str"/>
      <x:c r="E40" s="16" t="str">
        <x:v>B3F-1000</x:v>
      </x:c>
      <x:c r="F40" s="16" t="n">
        <x:v>1</x:v>
      </x:c>
      <x:c r="G40" s="16" t="str">
        <x:v>BLOCKER</x:v>
      </x:c>
      <x:c r="H40" s="100" t="str">
        <x:v>PTS815 is a 4.2 x 3.2 mm SMT switch; the PCB footprint is a 6 x 6 mm THT switch. Primary below matches the current footprint.</x:v>
      </x:c>
    </x:row>
    <x:row r="41">
      <x:c r="A41" s="99" t="str">
        <x:v>ESP32-WROOM-32UE</x:v>
      </x:c>
      <x:c r="B41" s="16" t="str">
        <x:v>U1</x:v>
      </x:c>
      <x:c r="C41" s="16" t="str">
        <x:v>RF_Module:ESP32-WROOM-32UE</x:v>
      </x:c>
      <x:c r="D41" s="16" t="str">
        <x:v>C701345</x:v>
      </x:c>
      <x:c r="E41" s="16" t="str">
        <x:v>ESP32-WROOM-32UE-N8</x:v>
      </x:c>
      <x:c r="F41" s="16" t="n">
        <x:v>1</x:v>
      </x:c>
      <x:c r="G41" s="16" t="str">
        <x:v>READY</x:v>
      </x:c>
      <x:c r="H41" s="100" t="str">
        <x:v>Draft primary selection; verify stock at quote time.</x:v>
      </x:c>
    </x:row>
    <x:row r="42">
      <x:c r="A42" s="99" t="str">
        <x:v>ULN2803A</x:v>
      </x:c>
      <x:c r="B42" s="16" t="str">
        <x:v>U2</x:v>
      </x:c>
      <x:c r="C42" s="16" t="str">
        <x:v>Package_SO:SOIC-18W_7.5x11.6mm_P1.27mm</x:v>
      </x:c>
      <x:c r="D42" s="16" t="str">
        <x:v>C107219</x:v>
      </x:c>
      <x:c r="E42" s="16" t="str">
        <x:v>ULN2803A</x:v>
      </x:c>
      <x:c r="F42" s="16" t="n">
        <x:v>1</x:v>
      </x:c>
      <x:c r="G42" s="16" t="str">
        <x:v>READY</x:v>
      </x:c>
      <x:c r="H42" s="100" t="str">
        <x:v>Draft primary selection; verify stock at quote time.</x:v>
      </x:c>
    </x:row>
    <x:row r="43">
      <x:c r="A43" s="99" t="str">
        <x:v>W5500</x:v>
      </x:c>
      <x:c r="B43" s="16" t="str">
        <x:v>U3</x:v>
      </x:c>
      <x:c r="C43" s="16" t="str">
        <x:v>Package_QFP:LQFP-48_7x7mm_P0.5mm</x:v>
      </x:c>
      <x:c r="D43" s="16" t="str">
        <x:v>C32843</x:v>
      </x:c>
      <x:c r="E43" s="16" t="str">
        <x:v>W5500</x:v>
      </x:c>
      <x:c r="F43" s="16" t="n">
        <x:v>1</x:v>
      </x:c>
      <x:c r="G43" s="16" t="str">
        <x:v>READY</x:v>
      </x:c>
      <x:c r="H43" s="100" t="str">
        <x:v>Draft primary selection; verify stock at quote time.</x:v>
      </x:c>
    </x:row>
    <x:row r="44">
      <x:c r="A44" s="99" t="str">
        <x:v>3A 32V</x:v>
      </x:c>
      <x:c r="B44" s="16" t="str">
        <x:v>U4</x:v>
      </x:c>
      <x:c r="C44" s="16" t="str">
        <x:v>Fuse:Fuse_1206_3216Metric</x:v>
      </x:c>
      <x:c r="D44" s="16" t="str"/>
      <x:c r="E44" s="16" t="str">
        <x:v>0685F3000-01</x:v>
      </x:c>
      <x:c r="F44" s="16" t="n">
        <x:v>1</x:v>
      </x:c>
      <x:c r="G44" s="16" t="str">
        <x:v>VERIFY</x:v>
      </x:c>
      <x:c r="H44" s="100" t="str">
        <x:v>Assumed input fuse. Verify exact Bel C1F 3 voltage/interrupt rating and whether fast-acting behavior coordinates with input surge/inrush.</x:v>
      </x:c>
    </x:row>
    <x:row r="45">
      <x:c r="A45" s="99" t="str">
        <x:v>TPS630701RNMR</x:v>
      </x:c>
      <x:c r="B45" s="16" t="str">
        <x:v>U5</x:v>
      </x:c>
      <x:c r="C45" s="16" t="str">
        <x:v>Library:RNM0015A</x:v>
      </x:c>
      <x:c r="D45" s="16" t="str">
        <x:v>C2876599</x:v>
      </x:c>
      <x:c r="E45" s="16" t="str">
        <x:v>TPS630701RNMR</x:v>
      </x:c>
      <x:c r="F45" s="16" t="n">
        <x:v>1</x:v>
      </x:c>
      <x:c r="G45" s="16" t="str">
        <x:v>READY</x:v>
      </x:c>
      <x:c r="H45" s="100" t="str">
        <x:v>Draft primary selection; verify stock at quote time.</x:v>
      </x:c>
    </x:row>
    <x:row r="46">
      <x:c r="A46" s="99" t="str">
        <x:v>TVS1800DRVR</x:v>
      </x:c>
      <x:c r="B46" s="16" t="str">
        <x:v>U7</x:v>
      </x:c>
      <x:c r="C46" s="16" t="str">
        <x:v>Library:DRV0006A_NV</x:v>
      </x:c>
      <x:c r="D46" s="16" t="str">
        <x:v>C1975229</x:v>
      </x:c>
      <x:c r="E46" s="16" t="str">
        <x:v>TVS1400DRVR</x:v>
      </x:c>
      <x:c r="F46" s="16" t="n">
        <x:v>1</x:v>
      </x:c>
      <x:c r="G46" s="16" t="str">
        <x:v>ENGINEERING HOLD</x:v>
      </x:c>
      <x:c r="H46" s="100" t="str">
        <x:v>Do not release as-is. TVS1800 has 18 V standoff and roughly 24.7 V maximum clamp, while TPS63070 is specified for up to 16 V input. TVS1400 is same-footprint and better, but the full protection network still needs surge coordination and verification.</x:v>
      </x:c>
    </x:row>
    <x:row r="47">
      <x:c r="A47" s="99" t="str">
        <x:v>TLV1117LV33DCYR</x:v>
      </x:c>
      <x:c r="B47" s="16" t="str">
        <x:v>U9,U10</x:v>
      </x:c>
      <x:c r="C47" s="16" t="str">
        <x:v>Library:TLV1117-33IDCYR</x:v>
      </x:c>
      <x:c r="D47" s="16" t="str">
        <x:v>C15578</x:v>
      </x:c>
      <x:c r="E47" s="16" t="str">
        <x:v>TLV1117LV33DCYR</x:v>
      </x:c>
      <x:c r="F47" s="16" t="n">
        <x:v>2</x:v>
      </x:c>
      <x:c r="G47" s="16" t="str">
        <x:v>READY</x:v>
      </x:c>
      <x:c r="H47" s="100" t="str">
        <x:v>Draft primary selection; verify stock at quote time.</x:v>
      </x:c>
    </x:row>
    <x:row r="48">
      <x:c r="A48" s="101" t="str">
        <x:v>ABM3C-25.000MHZ-D4Y-T</x:v>
      </x:c>
      <x:c r="B48" s="102" t="str">
        <x:v>Y2</x:v>
      </x:c>
      <x:c r="C48" s="102" t="str">
        <x:v>Library:CRYSTAL_ABM3C_ABR-M</x:v>
      </x:c>
      <x:c r="D48" s="102" t="str">
        <x:v>C2962760</x:v>
      </x:c>
      <x:c r="E48" s="102" t="str">
        <x:v>XC53M4-25.000-F18NJDTL</x:v>
      </x:c>
      <x:c r="F48" s="102" t="n">
        <x:v>1</x:v>
      </x:c>
      <x:c r="G48" s="102" t="str">
        <x:v>VERIFY</x:v>
      </x:c>
      <x:c r="H48" s="103" t="str">
        <x:v>Use a 5032, 25 MHz, 18 pF-load part. The exact Abracon part had very low JLC stock during research; primary is a footprint/spec-compatible full-temperature option subject to order-time stock.</x:v>
      </x:c>
    </x:row>
  </x:sheetData>
  <x:conditionalFormatting sqref="G2:G48">
    <x:cfRule type="expression" dxfId="3" priority="1">
      <x:formula>G2="READY"</x:formula>
    </x:cfRule>
    <x:cfRule type="expression" dxfId="4" priority="2">
      <x:formula>G2="VERIFY"</x:formula>
    </x:cfRule>
    <x:cfRule type="expression" dxfId="5" priority="3">
      <x:formula>OR(G2="BLOCKER",G2="ENGINEERING HOLD")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0166cefe4d47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2" hidden="0" customWidth="1"/>
    <x:col min="5" max="5" width="8" hidden="0" customWidth="1"/>
    <x:col min="6" max="6" width="8" hidden="0" customWidth="1"/>
  </x:cols>
  <x:sheetData>
    <x:row r="1" ht="34" customHeight="1">
      <x:c r="A1" s="96" t="str">
        <x:v>Reference</x:v>
      </x:c>
      <x:c r="B1" s="97" t="str">
        <x:v>Value</x:v>
      </x:c>
      <x:c r="C1" s="97" t="str">
        <x:v>Datasheet</x:v>
      </x:c>
      <x:c r="D1" s="97" t="str">
        <x:v>Footprint</x:v>
      </x:c>
      <x:c r="E1" s="97" t="str">
        <x:v>Qty</x:v>
      </x:c>
      <x:c r="F1" s="98" t="str">
        <x:v>DNP</x:v>
      </x:c>
    </x:row>
    <x:row r="2">
      <x:c r="A2" s="99" t="str">
        <x:v>C1,C2,C8,C26,C27,C28,C29</x:v>
      </x:c>
      <x:c r="B2" s="16" t="str">
        <x:v>10uF</x:v>
      </x:c>
      <x:c r="C2" s="16" t="str">
        <x:v>CL21A106KOQNNNE</x:v>
      </x:c>
      <x:c r="D2" s="16" t="str">
        <x:v>Capacitor_SMD:C_0603_1608Metric,Capacitor_SMD:C_0805_2012Metric</x:v>
      </x:c>
      <x:c r="E2" s="16" t="str">
        <x:v>7</x:v>
      </x:c>
      <x:c r="F2" s="100" t="str"/>
    </x:row>
    <x:row r="3">
      <x:c r="A3" s="99" t="str">
        <x:v>C3,C4,C7,C11,C12,C13,C14,C15,C16</x:v>
      </x:c>
      <x:c r="B3" s="16" t="str">
        <x:v>0.1uF</x:v>
      </x:c>
      <x:c r="C3" s="16" t="str"/>
      <x:c r="D3" s="16" t="str">
        <x:v>Capacitor_SMD:C_0201_0603Metric,Capacitor_SMD:C_0402_1005Metric,Capacitor_SMD:C_0603_1608Metric</x:v>
      </x:c>
      <x:c r="E3" s="16" t="str">
        <x:v>9</x:v>
      </x:c>
      <x:c r="F3" s="100" t="str"/>
    </x:row>
    <x:row r="4">
      <x:c r="A4" s="99" t="str">
        <x:v>C5</x:v>
      </x:c>
      <x:c r="B4" s="16" t="str">
        <x:v>4.7uF - Eth Reference Cap</x:v>
      </x:c>
      <x:c r="C4" s="16" t="str"/>
      <x:c r="D4" s="16" t="str">
        <x:v>Capacitor_SMD:C_0201_0603Metric</x:v>
      </x:c>
      <x:c r="E4" s="16" t="str">
        <x:v>1</x:v>
      </x:c>
      <x:c r="F4" s="100" t="str"/>
    </x:row>
    <x:row r="5">
      <x:c r="A5" s="99" t="str">
        <x:v>C6</x:v>
      </x:c>
      <x:c r="B5" s="16" t="str">
        <x:v>22nF</x:v>
      </x:c>
      <x:c r="C5" s="16" t="str"/>
      <x:c r="D5" s="16" t="str">
        <x:v>Capacitor_SMD:C_0201_0603Metric</x:v>
      </x:c>
      <x:c r="E5" s="16" t="str">
        <x:v>1</x:v>
      </x:c>
      <x:c r="F5" s="100" t="str"/>
    </x:row>
    <x:row r="6">
      <x:c r="A6" s="99" t="str">
        <x:v>C9</x:v>
      </x:c>
      <x:c r="B6" s="16" t="str">
        <x:v>100uF - Electrolytic</x:v>
      </x:c>
      <x:c r="C6" s="16" t="str"/>
      <x:c r="D6" s="16" t="str">
        <x:v>Capacitor_SMD:C_Elec_6.3x7.7</x:v>
      </x:c>
      <x:c r="E6" s="16" t="str">
        <x:v>1</x:v>
      </x:c>
      <x:c r="F6" s="100" t="str"/>
    </x:row>
    <x:row r="7">
      <x:c r="A7" s="99" t="str">
        <x:v>C10</x:v>
      </x:c>
      <x:c r="B7" s="16" t="str">
        <x:v>100nF - Ceramic</x:v>
      </x:c>
      <x:c r="C7" s="16" t="str"/>
      <x:c r="D7" s="16" t="str">
        <x:v>Capacitor_SMD:C_0603_1608Metric</x:v>
      </x:c>
      <x:c r="E7" s="16" t="str">
        <x:v>1</x:v>
      </x:c>
      <x:c r="F7" s="100" t="str"/>
    </x:row>
    <x:row r="8">
      <x:c r="A8" s="99" t="str">
        <x:v>C17,C19</x:v>
      </x:c>
      <x:c r="B8" s="16" t="str">
        <x:v>6.8nF</x:v>
      </x:c>
      <x:c r="C8" s="16" t="str"/>
      <x:c r="D8" s="16" t="str">
        <x:v>Capacitor_SMD:C_0201_0603Metric</x:v>
      </x:c>
      <x:c r="E8" s="16" t="str">
        <x:v>2</x:v>
      </x:c>
      <x:c r="F8" s="100" t="str"/>
    </x:row>
    <x:row r="9">
      <x:c r="A9" s="99" t="str">
        <x:v>C18</x:v>
      </x:c>
      <x:c r="B9" s="16" t="str">
        <x:v>10uF / 16V</x:v>
      </x:c>
      <x:c r="C9" s="16" t="str"/>
      <x:c r="D9" s="16" t="str">
        <x:v>Capacitor_SMD:C_0805_2012Metric</x:v>
      </x:c>
      <x:c r="E9" s="16" t="str">
        <x:v>1</x:v>
      </x:c>
      <x:c r="F9" s="100" t="str"/>
    </x:row>
    <x:row r="10">
      <x:c r="A10" s="99" t="str">
        <x:v>C20,C23</x:v>
      </x:c>
      <x:c r="B10" s="16" t="str">
        <x:v>10nF</x:v>
      </x:c>
      <x:c r="C10" s="16" t="str"/>
      <x:c r="D10" s="16" t="str">
        <x:v>Capacitor_SMD:C_0201_0603Metric</x:v>
      </x:c>
      <x:c r="E10" s="16" t="str">
        <x:v>2</x:v>
      </x:c>
      <x:c r="F10" s="100" t="str"/>
    </x:row>
    <x:row r="11">
      <x:c r="A11" s="99" t="str">
        <x:v>C21,C22</x:v>
      </x:c>
      <x:c r="B11" s="16" t="str">
        <x:v>18pF</x:v>
      </x:c>
      <x:c r="C11" s="16" t="str"/>
      <x:c r="D11" s="16" t="str">
        <x:v>Capacitor_SMD:C_0201_0603Metric</x:v>
      </x:c>
      <x:c r="E11" s="16" t="str">
        <x:v>2</x:v>
      </x:c>
      <x:c r="F11" s="100" t="str"/>
    </x:row>
    <x:row r="12">
      <x:c r="A12" s="99" t="str">
        <x:v>C24</x:v>
      </x:c>
      <x:c r="B12" s="16" t="str">
        <x:v>1uF - Ceramic</x:v>
      </x:c>
      <x:c r="C12" s="16" t="str"/>
      <x:c r="D12" s="16" t="str">
        <x:v>Capacitor_SMD:C_0805_2012Metric</x:v>
      </x:c>
      <x:c r="E12" s="16" t="str">
        <x:v>1</x:v>
      </x:c>
      <x:c r="F12" s="100" t="str"/>
    </x:row>
    <x:row r="13">
      <x:c r="A13" s="99" t="str">
        <x:v>C25</x:v>
      </x:c>
      <x:c r="B13" s="16" t="str">
        <x:v>100nF</x:v>
      </x:c>
      <x:c r="C13" s="16" t="str"/>
      <x:c r="D13" s="16" t="str">
        <x:v>Capacitor_SMD:C_0201_0603Metric</x:v>
      </x:c>
      <x:c r="E13" s="16" t="str">
        <x:v>1</x:v>
      </x:c>
      <x:c r="F13" s="100" t="str"/>
    </x:row>
    <x:row r="14">
      <x:c r="A14" s="99" t="str">
        <x:v>C30,C31</x:v>
      </x:c>
      <x:c r="B14" s="16" t="str">
        <x:v>22uF</x:v>
      </x:c>
      <x:c r="C14" s="16" t="str">
        <x:v>CL21A106KOQNNNE</x:v>
      </x:c>
      <x:c r="D14" s="16" t="str">
        <x:v>Capacitor_SMD:C_0805_2012Metric</x:v>
      </x:c>
      <x:c r="E14" s="16" t="str">
        <x:v>2</x:v>
      </x:c>
      <x:c r="F14" s="100" t="str"/>
    </x:row>
    <x:row r="15">
      <x:c r="A15" s="99" t="str">
        <x:v>C32,C33,C34,C35,C36,C37</x:v>
      </x:c>
      <x:c r="B15" s="16" t="str">
        <x:v>1uF</x:v>
      </x:c>
      <x:c r="C15" s="16" t="str"/>
      <x:c r="D15" s="16" t="str">
        <x:v>Capacitor_SMD:C_0402_1005Metric,Capacitor_SMD:C_0805_2012Metric</x:v>
      </x:c>
      <x:c r="E15" s="16" t="str">
        <x:v>6</x:v>
      </x:c>
      <x:c r="F15" s="100" t="str"/>
    </x:row>
    <x:row r="16">
      <x:c r="A16" s="99" t="str">
        <x:v>D1,D2,D3,D4,D5</x:v>
      </x:c>
      <x:c r="B16" s="16" t="str">
        <x:v>LED VO-PT2012SEAC</x:v>
      </x:c>
      <x:c r="C16" s="16" t="str"/>
      <x:c r="D16" s="16" t="str">
        <x:v>LED_SMD:LED_0201_0603Metric</x:v>
      </x:c>
      <x:c r="E16" s="16" t="str">
        <x:v>5</x:v>
      </x:c>
      <x:c r="F16" s="100" t="str"/>
    </x:row>
    <x:row r="17">
      <x:c r="A17" s="99" t="str">
        <x:v>D6</x:v>
      </x:c>
      <x:c r="B17" s="16" t="str">
        <x:v>LED</x:v>
      </x:c>
      <x:c r="C17" s="16" t="str"/>
      <x:c r="D17" s="16" t="str">
        <x:v>LED_SMD:LED_0201_0603Metric</x:v>
      </x:c>
      <x:c r="E17" s="16" t="str">
        <x:v>1</x:v>
      </x:c>
      <x:c r="F17" s="100" t="str"/>
    </x:row>
    <x:row r="18">
      <x:c r="A18" s="99" t="str">
        <x:v>F1,F2,F5</x:v>
      </x:c>
      <x:c r="B18" s="16" t="str">
        <x:v>0685T5000</x:v>
      </x:c>
      <x:c r="C18" s="16" t="str"/>
      <x:c r="D18" s="16" t="str">
        <x:v>Fuse:Fuse_0805_2012Metric</x:v>
      </x:c>
      <x:c r="E18" s="16" t="str">
        <x:v>3</x:v>
      </x:c>
      <x:c r="F18" s="100" t="str"/>
    </x:row>
    <x:row r="19">
      <x:c r="A19" s="99" t="str">
        <x:v>F3,F4</x:v>
      </x:c>
      <x:c r="B19" s="16" t="str">
        <x:v>0685T5000-01</x:v>
      </x:c>
      <x:c r="C19" s="16" t="str"/>
      <x:c r="D19" s="16" t="str">
        <x:v>Fuse:Fuse_0805_2012Metric</x:v>
      </x:c>
      <x:c r="E19" s="16" t="str">
        <x:v>2</x:v>
      </x:c>
      <x:c r="F19" s="100" t="str"/>
    </x:row>
    <x:row r="20">
      <x:c r="A20" s="99" t="str">
        <x:v>J1</x:v>
      </x:c>
      <x:c r="B20" s="16" t="str">
        <x:v>12</x:v>
      </x:c>
      <x:c r="C20" s="16" t="str"/>
      <x:c r="D20" s="16" t="str">
        <x:v>Connector_BarrelJack:BarrelJack_CUI_PJ-102AH_Horizontal</x:v>
      </x:c>
      <x:c r="E20" s="16" t="str">
        <x:v>1</x:v>
      </x:c>
      <x:c r="F20" s="100" t="str"/>
    </x:row>
    <x:row r="21">
      <x:c r="A21" s="99" t="str">
        <x:v>J2</x:v>
      </x:c>
      <x:c r="B21" s="16" t="str">
        <x:v>RJ45_Hanrun_HR911105A_Horizontal</x:v>
      </x:c>
      <x:c r="C21" s="16" t="str">
        <x:v>https://datasheet.lcsc.com/lcsc/1811141815_HANRUN-Zhongshan-HanRun-Elec-HR911105A_C12074.pdf</x:v>
      </x:c>
      <x:c r="D21" s="16" t="str">
        <x:v>Connector_RJ:RJ45_Hanrun_HR911105A_Horizontal</x:v>
      </x:c>
      <x:c r="E21" s="16" t="str">
        <x:v>1</x:v>
      </x:c>
      <x:c r="F21" s="100" t="str"/>
    </x:row>
    <x:row r="22">
      <x:c r="A22" s="99" t="str">
        <x:v>J3</x:v>
      </x:c>
      <x:c r="B22" s="16" t="str">
        <x:v>B4B-PH-SM4-TB</x:v>
      </x:c>
      <x:c r="C22" s="16" t="str">
        <x:v>B4B-PH-SM4-TB</x:v>
      </x:c>
      <x:c r="D22" s="16" t="str">
        <x:v>Connector_PinHeader_2.54mm:PinHeader_1x04_P2.54mm_Vertical</x:v>
      </x:c>
      <x:c r="E22" s="16" t="str">
        <x:v>1</x:v>
      </x:c>
      <x:c r="F22" s="100" t="str"/>
    </x:row>
    <x:row r="23">
      <x:c r="A23" s="99" t="str">
        <x:v>J10,J11,J12,J13,J14</x:v>
      </x:c>
      <x:c r="B23" s="16" t="str">
        <x:v>Screw_Terminal_01x03</x:v>
      </x:c>
      <x:c r="C23" s="16" t="str"/>
      <x:c r="D23" s="16" t="str">
        <x:v>TerminalBlock:TerminalBlock_MaiXu_MX126-5.0-03P_1x03_P5.00mm</x:v>
      </x:c>
      <x:c r="E23" s="16" t="str">
        <x:v>5</x:v>
      </x:c>
      <x:c r="F23" s="100" t="str"/>
    </x:row>
    <x:row r="24">
      <x:c r="A24" s="99" t="str">
        <x:v>K10,K11,K12,K13,K14</x:v>
      </x:c>
      <x:c r="B24" s="16" t="str">
        <x:v>G2RL-1-E</x:v>
      </x:c>
      <x:c r="C24" s="16" t="str">
        <x:v>https://omronfs.omron.com/en_US/ecb/products/pdf/en-g2rl.pdf</x:v>
      </x:c>
      <x:c r="D24" s="16" t="str">
        <x:v>Relay_THT:Relay_SPDT_Omron_G2RL-1-E</x:v>
      </x:c>
      <x:c r="E24" s="16" t="str">
        <x:v>5</x:v>
      </x:c>
      <x:c r="F24" s="100" t="str"/>
    </x:row>
    <x:row r="25">
      <x:c r="A25" s="99" t="str">
        <x:v>L1</x:v>
      </x:c>
      <x:c r="B25" s="16" t="str">
        <x:v>MH1608-121Y</x:v>
      </x:c>
      <x:c r="C25" s="16" t="str"/>
      <x:c r="D25" s="16" t="str">
        <x:v>Library:IND_BOURNS_MH1608</x:v>
      </x:c>
      <x:c r="E25" s="16" t="str">
        <x:v>1</x:v>
      </x:c>
      <x:c r="F25" s="100" t="str"/>
    </x:row>
    <x:row r="26">
      <x:c r="A26" s="99" t="str">
        <x:v>L3</x:v>
      </x:c>
      <x:c r="B26" s="16" t="str">
        <x:v>XFL4020-152MEC</x:v>
      </x:c>
      <x:c r="C26" s="16" t="str">
        <x:v>XFL4020-152MEC</x:v>
      </x:c>
      <x:c r="D26" s="16" t="str">
        <x:v>Library:IND_XFL4020_COC-M</x:v>
      </x:c>
      <x:c r="E26" s="16" t="str">
        <x:v>1</x:v>
      </x:c>
      <x:c r="F26" s="100" t="str"/>
    </x:row>
    <x:row r="27">
      <x:c r="A27" s="99" t="str">
        <x:v>R1,R2,R3,R4,R5</x:v>
      </x:c>
      <x:c r="B27" s="16" t="str">
        <x:v>2.2k</x:v>
      </x:c>
      <x:c r="C27" s="16" t="str"/>
      <x:c r="D27" s="16" t="str">
        <x:v>Resistor_SMD:R_0603_1608Metric</x:v>
      </x:c>
      <x:c r="E27" s="16" t="str">
        <x:v>5</x:v>
      </x:c>
      <x:c r="F27" s="100" t="str"/>
    </x:row>
    <x:row r="28">
      <x:c r="A28" s="99" t="str">
        <x:v>R6</x:v>
      </x:c>
      <x:c r="B28" s="16" t="str">
        <x:v>12.4k 1% - Ethernet external reference</x:v>
      </x:c>
      <x:c r="C28" s="16" t="str"/>
      <x:c r="D28" s="16" t="str">
        <x:v>Resistor_SMD:R_0402_1005Metric</x:v>
      </x:c>
      <x:c r="E28" s="16" t="str">
        <x:v>1</x:v>
      </x:c>
      <x:c r="F28" s="100" t="str"/>
    </x:row>
    <x:row r="29">
      <x:c r="A29" s="99" t="str">
        <x:v>R7,R8,R16,R17</x:v>
      </x:c>
      <x:c r="B29" s="16" t="str">
        <x:v>33</x:v>
      </x:c>
      <x:c r="C29" s="16" t="str"/>
      <x:c r="D29" s="16" t="str">
        <x:v>Resistor_SMD:R_0603_1608Metric</x:v>
      </x:c>
      <x:c r="E29" s="16" t="str">
        <x:v>4</x:v>
      </x:c>
      <x:c r="F29" s="100" t="str"/>
    </x:row>
    <x:row r="30">
      <x:c r="A30" s="99" t="str">
        <x:v>R9,R15,R29</x:v>
      </x:c>
      <x:c r="B30" s="16" t="str">
        <x:v>330</x:v>
      </x:c>
      <x:c r="C30" s="16" t="str"/>
      <x:c r="D30" s="16" t="str">
        <x:v>Resistor_SMD:R_0603_1608Metric</x:v>
      </x:c>
      <x:c r="E30" s="16" t="str">
        <x:v>3</x:v>
      </x:c>
      <x:c r="F30" s="100" t="str"/>
    </x:row>
    <x:row r="31">
      <x:c r="A31" s="99" t="str">
        <x:v>R10,R11,R12,R13,R14</x:v>
      </x:c>
      <x:c r="B31" s="16" t="str">
        <x:v>100k</x:v>
      </x:c>
      <x:c r="C31" s="16" t="str"/>
      <x:c r="D31" s="16" t="str">
        <x:v>Resistor_SMD:R_0603_1608Metric</x:v>
      </x:c>
      <x:c r="E31" s="16" t="str">
        <x:v>5</x:v>
      </x:c>
      <x:c r="F31" s="100" t="str"/>
    </x:row>
    <x:row r="32">
      <x:c r="A32" s="99" t="str">
        <x:v>R18,R19,R21,R22</x:v>
      </x:c>
      <x:c r="B32" s="16" t="str">
        <x:v>49.9 1%</x:v>
      </x:c>
      <x:c r="C32" s="16" t="str"/>
      <x:c r="D32" s="16" t="str">
        <x:v>Resistor_SMD:R_0201_0603Metric</x:v>
      </x:c>
      <x:c r="E32" s="16" t="str">
        <x:v>4</x:v>
      </x:c>
      <x:c r="F32" s="100" t="str"/>
    </x:row>
    <x:row r="33">
      <x:c r="A33" s="99" t="str">
        <x:v>R20</x:v>
      </x:c>
      <x:c r="B33" s="16" t="str">
        <x:v>10 1%</x:v>
      </x:c>
      <x:c r="C33" s="16" t="str"/>
      <x:c r="D33" s="16" t="str">
        <x:v>Resistor_SMD:R_0201_0603Metric</x:v>
      </x:c>
      <x:c r="E33" s="16" t="str">
        <x:v>1</x:v>
      </x:c>
      <x:c r="F33" s="100" t="str"/>
    </x:row>
    <x:row r="34">
      <x:c r="A34" s="99" t="str">
        <x:v>R23</x:v>
      </x:c>
      <x:c r="B34" s="16" t="str">
        <x:v>0</x:v>
      </x:c>
      <x:c r="C34" s="16" t="str"/>
      <x:c r="D34" s="16" t="str">
        <x:v>Resistor_SMD:R_0402_1005Metric</x:v>
      </x:c>
      <x:c r="E34" s="16" t="str">
        <x:v>1</x:v>
      </x:c>
      <x:c r="F34" s="100" t="str"/>
    </x:row>
    <x:row r="35">
      <x:c r="A35" s="99" t="str">
        <x:v>R24</x:v>
      </x:c>
      <x:c r="B35" s="16" t="str">
        <x:v>1M</x:v>
      </x:c>
      <x:c r="C35" s="16" t="str"/>
      <x:c r="D35" s="16" t="str">
        <x:v>Resistor_SMD:R_0402_1005Metric</x:v>
      </x:c>
      <x:c r="E35" s="16" t="str">
        <x:v>1</x:v>
      </x:c>
      <x:c r="F35" s="100" t="str"/>
    </x:row>
    <x:row r="36">
      <x:c r="A36" s="99" t="str">
        <x:v>R25</x:v>
      </x:c>
      <x:c r="B36" s="16" t="str">
        <x:v>10k</x:v>
      </x:c>
      <x:c r="C36" s="16" t="str"/>
      <x:c r="D36" s="16" t="str">
        <x:v>Resistor_SMD:R_0603_1608Metric</x:v>
      </x:c>
      <x:c r="E36" s="16" t="str">
        <x:v>1</x:v>
      </x:c>
      <x:c r="F36" s="100" t="str"/>
    </x:row>
    <x:row r="37">
      <x:c r="A37" s="99" t="str">
        <x:v>R26</x:v>
      </x:c>
      <x:c r="B37" s="16" t="str">
        <x:v>10kΩ</x:v>
      </x:c>
      <x:c r="C37" s="16" t="str"/>
      <x:c r="D37" s="16" t="str">
        <x:v>Resistor_SMD:R_0402_1005Metric</x:v>
      </x:c>
      <x:c r="E37" s="16" t="str">
        <x:v>1</x:v>
      </x:c>
      <x:c r="F37" s="100" t="str"/>
    </x:row>
    <x:row r="38">
      <x:c r="A38" s="99" t="str">
        <x:v>R28</x:v>
      </x:c>
      <x:c r="B38" s="16" t="str">
        <x:v>100kΩ</x:v>
      </x:c>
      <x:c r="C38" s="16" t="str"/>
      <x:c r="D38" s="16" t="str">
        <x:v>Resistor_SMD:R_0603_1608Metric</x:v>
      </x:c>
      <x:c r="E38" s="16" t="str">
        <x:v>1</x:v>
      </x:c>
      <x:c r="F38" s="100" t="str"/>
    </x:row>
    <x:row r="39">
      <x:c r="A39" s="99" t="str">
        <x:v>SW5</x:v>
      </x:c>
      <x:c r="B39" s="16" t="str">
        <x:v>ENABLE</x:v>
      </x:c>
      <x:c r="C39" s="16" t="str">
        <x:v>PTS815 SJM 250 SMTR LFS</x:v>
      </x:c>
      <x:c r="D39" s="16" t="str">
        <x:v>Button_Switch_THT:SW_PUSH_6mm_H5mm</x:v>
      </x:c>
      <x:c r="E39" s="16" t="str">
        <x:v>1</x:v>
      </x:c>
      <x:c r="F39" s="100" t="str"/>
    </x:row>
    <x:row r="40">
      <x:c r="A40" s="99" t="str">
        <x:v>SW6</x:v>
      </x:c>
      <x:c r="B40" s="16" t="str">
        <x:v>RESET</x:v>
      </x:c>
      <x:c r="C40" s="16" t="str">
        <x:v>PTS815 SJM 250 SMTR LFS</x:v>
      </x:c>
      <x:c r="D40" s="16" t="str">
        <x:v>Button_Switch_THT:SW_PUSH_6mm_H5mm</x:v>
      </x:c>
      <x:c r="E40" s="16" t="str">
        <x:v>1</x:v>
      </x:c>
      <x:c r="F40" s="100" t="str"/>
    </x:row>
    <x:row r="41">
      <x:c r="A41" s="99" t="str">
        <x:v>U1</x:v>
      </x:c>
      <x:c r="B41" s="16" t="str">
        <x:v>ESP32-WROOM-32UE</x:v>
      </x:c>
      <x:c r="C41" s="16" t="str">
        <x:v>https://www.espressif.com/sites/default/files/documentation/esp32-wroom-32e_esp32-wroom-32ue_datasheet_en.pdf</x:v>
      </x:c>
      <x:c r="D41" s="16" t="str">
        <x:v>RF_Module:ESP32-WROOM-32UE</x:v>
      </x:c>
      <x:c r="E41" s="16" t="str">
        <x:v>1</x:v>
      </x:c>
      <x:c r="F41" s="100" t="str"/>
    </x:row>
    <x:row r="42">
      <x:c r="A42" s="99" t="str">
        <x:v>U2</x:v>
      </x:c>
      <x:c r="B42" s="16" t="str">
        <x:v>ULN2803A</x:v>
      </x:c>
      <x:c r="C42" s="16" t="str">
        <x:v>http://www.ti.com/lit/ds/symlink/uln2803a.pdf</x:v>
      </x:c>
      <x:c r="D42" s="16" t="str">
        <x:v>Package_SO:SOIC-18W_7.5x11.6mm_P1.27mm</x:v>
      </x:c>
      <x:c r="E42" s="16" t="str">
        <x:v>1</x:v>
      </x:c>
      <x:c r="F42" s="100" t="str"/>
    </x:row>
    <x:row r="43">
      <x:c r="A43" s="99" t="str">
        <x:v>U3</x:v>
      </x:c>
      <x:c r="B43" s="16" t="str">
        <x:v>W5500</x:v>
      </x:c>
      <x:c r="C43" s="16" t="str">
        <x:v>https://docs.wiznet.io/img/products/w5500/W5500_ds_v110e.pdf</x:v>
      </x:c>
      <x:c r="D43" s="16" t="str">
        <x:v>Package_QFP:LQFP-48_7x7mm_P0.5mm</x:v>
      </x:c>
      <x:c r="E43" s="16" t="str">
        <x:v>1</x:v>
      </x:c>
      <x:c r="F43" s="100" t="str"/>
    </x:row>
    <x:row r="44">
      <x:c r="A44" s="99" t="str">
        <x:v>U4</x:v>
      </x:c>
      <x:c r="B44" s="16" t="str">
        <x:v>3A 32V</x:v>
      </x:c>
      <x:c r="C44" s="16" t="str">
        <x:v>C1F 3</x:v>
      </x:c>
      <x:c r="D44" s="16" t="str">
        <x:v>Fuse:Fuse_1206_3216Metric</x:v>
      </x:c>
      <x:c r="E44" s="16" t="str">
        <x:v>1</x:v>
      </x:c>
      <x:c r="F44" s="100" t="str"/>
    </x:row>
    <x:row r="45">
      <x:c r="A45" s="99" t="str">
        <x:v>U5</x:v>
      </x:c>
      <x:c r="B45" s="16" t="str">
        <x:v>TPS630701RNMR</x:v>
      </x:c>
      <x:c r="C45" s="16" t="str">
        <x:v>https://www.ti.com/lit/gpn/tps63070</x:v>
      </x:c>
      <x:c r="D45" s="16" t="str">
        <x:v>Library:RNM0015A</x:v>
      </x:c>
      <x:c r="E45" s="16" t="str">
        <x:v>1</x:v>
      </x:c>
      <x:c r="F45" s="100" t="str"/>
    </x:row>
    <x:row r="46">
      <x:c r="A46" s="99" t="str">
        <x:v>U7</x:v>
      </x:c>
      <x:c r="B46" s="16" t="str">
        <x:v>TVS1800DRVR</x:v>
      </x:c>
      <x:c r="C46" s="16" t="str">
        <x:v>https://www.ti.com/lit/gpn/tvs1800</x:v>
      </x:c>
      <x:c r="D46" s="16" t="str">
        <x:v>Library:DRV0006A_NV</x:v>
      </x:c>
      <x:c r="E46" s="16" t="str">
        <x:v>1</x:v>
      </x:c>
      <x:c r="F46" s="100" t="str"/>
    </x:row>
    <x:row r="47">
      <x:c r="A47" s="99" t="str">
        <x:v>U9,U10</x:v>
      </x:c>
      <x:c r="B47" s="16" t="str">
        <x:v>TLV1117LV33DCYR</x:v>
      </x:c>
      <x:c r="C47" s="16" t="str">
        <x:v>https://www.ti.com/lit/gpn/tlv1117lv</x:v>
      </x:c>
      <x:c r="D47" s="16" t="str">
        <x:v>Library:TLV1117-33IDCYR</x:v>
      </x:c>
      <x:c r="E47" s="16" t="str">
        <x:v>2</x:v>
      </x:c>
      <x:c r="F47" s="100" t="str"/>
    </x:row>
    <x:row r="48">
      <x:c r="A48" s="101" t="str">
        <x:v>Y2</x:v>
      </x:c>
      <x:c r="B48" s="102" t="str">
        <x:v>ABM3C-25.000MHZ-D4Y-T</x:v>
      </x:c>
      <x:c r="C48" s="102" t="str">
        <x:v>https://abracon.com/Resonators/ABM3C.pdf</x:v>
      </x:c>
      <x:c r="D48" s="102" t="str">
        <x:v>Library:CRYSTAL_ABM3C_ABR-M</x:v>
      </x:c>
      <x:c r="E48" s="102" t="str">
        <x:v>1</x:v>
      </x:c>
      <x:c r="F48" s="103" t="str"/>
    </x:row>
  </x:sheetData>
  <x:pageMargins left="0.7" right="0.7" top="0.75" bottom="0.75" header="0.3" footer="0.3"/>
  <x:tableParts count="1">
    <x:tablePart xmlns:r="http://schemas.openxmlformats.org/officeDocument/2006/relationships" r:id="Rba08bc9624644177"/>
  </x:tableParts>
</x:worksheet>
</file>