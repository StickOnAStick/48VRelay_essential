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ff47f3a0d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3c33617a8184c32"/>
    <x:sheet xmlns:r="http://schemas.openxmlformats.org/officeDocument/2006/relationships" name="Manufacturing BOM" sheetId="2" r:id="Rdffd62353cb5476a"/>
    <x:sheet xmlns:r="http://schemas.openxmlformats.org/officeDocument/2006/relationships" name="JLC Import Draft" sheetId="3" r:id="Rcf06c3e500564e06"/>
    <x:sheet xmlns:r="http://schemas.openxmlformats.org/officeDocument/2006/relationships" name="Release Holds" sheetId="4" r:id="R87593f0d78544a0e"/>
    <x:sheet xmlns:r="http://schemas.openxmlformats.org/officeDocument/2006/relationships" name="Source BOM" sheetId="5" r:id="R17cb8e750fa0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</x:fills>
  <x:borders count="12">
    <x:border/>
    <x:border/>
    <x:border>
      <x:bottom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1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51C75"/>
      </x:font>
      <x:fill>
        <x:patternFill patternType="solid">
          <x:bgColor rgb="FFD9D2E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51C75"/>
      </x:font>
      <x:fill>
        <x:patternFill patternType="solid">
          <x:bgColor rgb="FFD9D2E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51C75"/>
      </x:font>
      <x:fill>
        <x:patternFill patternType="solid">
          <x:bgColor rgb="FFD9D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2be1cd72945c8" /><Relationship Type="http://schemas.openxmlformats.org/officeDocument/2006/relationships/theme" Target="/xl/theme/theme1.xml" Id="R46fd2e58fd27495d" /><Relationship Type="http://schemas.openxmlformats.org/officeDocument/2006/relationships/sharedStrings" Target="/xl/sharedStrings.xml" Id="Raf61cb472bee447a" /><Relationship Type="http://schemas.openxmlformats.org/officeDocument/2006/relationships/worksheet" Target="/xl/worksheets/sheet1.xml" Id="Rb3c33617a8184c32" /><Relationship Type="http://schemas.openxmlformats.org/officeDocument/2006/relationships/worksheet" Target="/xl/worksheets/sheet2.xml" Id="Rdffd62353cb5476a" /><Relationship Type="http://schemas.openxmlformats.org/officeDocument/2006/relationships/worksheet" Target="/xl/worksheets/sheet3.xml" Id="Rcf06c3e500564e06" /><Relationship Type="http://schemas.openxmlformats.org/officeDocument/2006/relationships/worksheet" Target="/xl/worksheets/sheet4.xml" Id="R87593f0d78544a0e" /><Relationship Type="http://schemas.openxmlformats.org/officeDocument/2006/relationships/worksheet" Target="/xl/worksheets/sheet5.xml" Id="R17cb8e750fa048f9" /></Relationships>
</file>

<file path=xl/tables/table1.xml><?xml version="1.0" encoding="utf-8"?>
<x:table xmlns:x="http://schemas.openxmlformats.org/spreadsheetml/2006/main" id="1" name="ManufacturingBOMTable" displayName="ManufacturingBOMTable" ref="A1:P52" headerRowCount="1">
  <x:tableColumns count="16">
    <x:tableColumn id="1" name="Line"/>
    <x:tableColumn id="2" name="Comment / Value"/>
    <x:tableColumn id="3" name="Designator"/>
    <x:tableColumn id="4" name="Footprint"/>
    <x:tableColumn id="5" name="Qty"/>
    <x:tableColumn id="6" name="DNP"/>
    <x:tableColumn id="7" name="Manufacturer"/>
    <x:tableColumn id="8" name="Manufacturer Part Number"/>
    <x:tableColumn id="9" name="LCSC/JLCPCB Part #"/>
    <x:tableColumn id="10" name="Package"/>
    <x:tableColumn id="11" name="Key Specifications"/>
    <x:tableColumn id="12" name="Release Status"/>
    <x:tableColumn id="13" name="Compatibility"/>
    <x:tableColumn id="14" name="Procurement / Engineering Note"/>
    <x:tableColumn id="15" name="Source URL"/>
    <x:tableColumn id="16" name="Original Datasheet / Entry"/>
  </x:tableColumns>
  <x:tableStyleInfo name="TableStyleMedium2" showRowStripes="1"/>
</x:table>
</file>

<file path=xl/tables/table2.xml><?xml version="1.0" encoding="utf-8"?>
<x:table xmlns:x="http://schemas.openxmlformats.org/spreadsheetml/2006/main" id="2" name="JLCImportDraftTable" displayName="JLCImportDraftTable" ref="A1:H52" headerRowCount="1">
  <x:tableColumns count="8">
    <x:tableColumn id="1" name="Comment"/>
    <x:tableColumn id="2" name="Designator"/>
    <x:tableColumn id="3" name="Footprint"/>
    <x:tableColumn id="4" name="LCSC Part #"/>
    <x:tableColumn id="5" name="Manufacturer Part #"/>
    <x:tableColumn id="6" name="Qty"/>
    <x:tableColumn id="7" name="DNP"/>
    <x:tableColumn id="8" name="Release Status"/>
  </x:tableColumns>
  <x:tableStyleInfo name="TableStyleMedium2" showRowStripes="1"/>
</x:table>
</file>

<file path=xl/tables/table3.xml><?xml version="1.0" encoding="utf-8"?>
<x:table xmlns:x="http://schemas.openxmlformats.org/spreadsheetml/2006/main" id="3" name="ReleaseHoldsTable" displayName="ReleaseHoldsTable" ref="A1:H18" headerRowCount="1">
  <x:tableColumns count="8">
    <x:tableColumn id="1" name="Priority"/>
    <x:tableColumn id="2" name="Designator"/>
    <x:tableColumn id="3" name="Status"/>
    <x:tableColumn id="4" name="Issue / Note"/>
    <x:tableColumn id="5" name="Required Resolution"/>
    <x:tableColumn id="6" name="Selected Primary"/>
    <x:tableColumn id="7" name="Footprint"/>
    <x:tableColumn id="8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SourceBOMTable" displayName="SourceBOMTable" ref="A1:F52" headerRowCount="1">
  <x:tableColumns count="6">
    <x:tableColumn id="1" name="Reference"/>
    <x:tableColumn id="2" name="Value"/>
    <x:tableColumn id="3" name="Datasheet"/>
    <x:tableColumn id="4" name="Footprint"/>
    <x:tableColumn id="5" name="Qty"/>
    <x:tableColumn id="6" name="DN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426d48649545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b7af44189a4e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971f0938264a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f0a0a83b154c4e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5" t="str">
        <x:v>48V Relay PCBA — Manufacturing BOM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6" t="str">
        <x:v>Revision basis</x:v>
      </x:c>
      <x:c r="B3" s="17" t="str">
        <x:v>Revised footprint-separated BOM</x:v>
      </x:c>
    </x:row>
    <x:row r="4" ht="22" customHeight="1">
      <x:c r="A4" s="16" t="str">
        <x:v>Generated</x:v>
      </x:c>
      <x:c r="B4" s="17" t="str">
        <x:v>2026-07-22</x:v>
      </x:c>
    </x:row>
    <x:row r="5" ht="22" customHeight="1">
      <x:c r="A5" s="16" t="str">
        <x:v>BOM lines</x:v>
      </x:c>
      <x:c r="B5" s="17" t="n">
        <x:f>COUNTA('Manufacturing BOM'!A2:A200)</x:f>
        <x:v>51</x:v>
      </x:c>
    </x:row>
    <x:row r="6" ht="22" customHeight="1">
      <x:c r="A6" s="16" t="str">
        <x:v>Total placements</x:v>
      </x:c>
      <x:c r="B6" s="17" t="n">
        <x:f>SUM('Manufacturing BOM'!E2:E200)</x:f>
        <x:v>102</x:v>
      </x:c>
    </x:row>
    <x:row r="7" ht="22" customHeight="1">
      <x:c r="A7" s="16" t="str">
        <x:v>Ready</x:v>
      </x:c>
      <x:c r="B7" s="17" t="n">
        <x:f>COUNTIF('Manufacturing BOM'!L2:L200,"READY")</x:f>
        <x:v>34</x:v>
      </x:c>
    </x:row>
    <x:row r="8" ht="22" customHeight="1">
      <x:c r="A8" s="16" t="str">
        <x:v>Verify</x:v>
      </x:c>
      <x:c r="B8" s="17" t="n">
        <x:f>COUNTIF('Manufacturing BOM'!L2:L200,"VERIFY")</x:f>
        <x:v>10</x:v>
      </x:c>
    </x:row>
    <x:row r="9" ht="22" customHeight="1">
      <x:c r="A9" s="16" t="str">
        <x:v>Blocker</x:v>
      </x:c>
      <x:c r="B9" s="17" t="n">
        <x:f>COUNTIF('Manufacturing BOM'!L2:L200,"BLOCKER")</x:f>
        <x:v>6</x:v>
      </x:c>
    </x:row>
    <x:row r="10" ht="22" customHeight="1">
      <x:c r="A10" s="18" t="str">
        <x:v>Engineering hold</x:v>
      </x:c>
      <x:c r="B10" s="17" t="n">
        <x:f>COUNTIF('Manufacturing BOM'!L2:L200,"ENGINEERING HOLD")</x:f>
        <x:v>1</x:v>
      </x:c>
    </x:row>
    <x:row r="12">
      <x:c r="A12" s="23" t="str">
        <x:v>Release structure</x:v>
      </x:c>
      <x:c r="B12" s="23"/>
      <x:c r="C12" s="23"/>
      <x:c r="D12" s="23"/>
      <x:c r="E12" s="23"/>
      <x:c r="F12" s="23"/>
      <x:c r="G12" s="23"/>
      <x:c r="H12" s="23"/>
    </x:row>
    <x:row r="13">
      <x:c r="A13" s="27" t="str">
        <x:v>File</x:v>
      </x:c>
      <x:c r="B13" s="17" t="str">
        <x:v>Purpose</x:v>
      </x:c>
      <x:c r="C13" s="17" t="str"/>
      <x:c r="D13" s="17" t="str"/>
      <x:c r="E13" s="17" t="str"/>
      <x:c r="F13" s="17" t="str"/>
      <x:c r="G13" s="17" t="str"/>
      <x:c r="H13" s="17" t="str"/>
    </x:row>
    <x:row r="14">
      <x:c r="A14" s="27" t="str">
        <x:v>Manufacturing BOM</x:v>
      </x:c>
      <x:c r="B14" s="17" t="str">
        <x:v>One selected primary part per BOM line; no alternates embedded.</x:v>
      </x:c>
      <x:c r="C14" s="17" t="str"/>
      <x:c r="D14" s="17" t="str"/>
      <x:c r="E14" s="17" t="str"/>
      <x:c r="F14" s="17" t="str"/>
      <x:c r="G14" s="17" t="str"/>
      <x:c r="H14" s="17" t="str"/>
    </x:row>
    <x:row r="15">
      <x:c r="A15" s="27" t="str">
        <x:v>JLC Import Draft</x:v>
      </x:c>
      <x:c r="B15" s="17" t="str">
        <x:v>JLC-style columns using the selected primary. Do not release while BLOCKER or ENGINEERING HOLD rows remain.</x:v>
      </x:c>
      <x:c r="C15" s="17" t="str"/>
      <x:c r="D15" s="17" t="str"/>
      <x:c r="E15" s="17" t="str"/>
      <x:c r="F15" s="17" t="str"/>
      <x:c r="G15" s="17" t="str"/>
      <x:c r="H15" s="17" t="str"/>
    </x:row>
    <x:row r="16">
      <x:c r="A16" s="27" t="str">
        <x:v>Release Holds</x:v>
      </x:c>
      <x:c r="B16" s="17" t="str">
        <x:v>All non-READY items and the action needed before production.</x:v>
      </x:c>
      <x:c r="C16" s="17" t="str"/>
      <x:c r="D16" s="17" t="str"/>
      <x:c r="E16" s="17" t="str"/>
      <x:c r="F16" s="17" t="str"/>
      <x:c r="G16" s="17" t="str"/>
      <x:c r="H16" s="17" t="str"/>
    </x:row>
    <x:row r="17">
      <x:c r="A17" s="27" t="str">
        <x:v>Source BOM</x:v>
      </x:c>
      <x:c r="B17" s="17" t="str">
        <x:v>The revised CSV preserved unchanged for traceability.</x:v>
      </x:c>
      <x:c r="C17" s="17" t="str"/>
      <x:c r="D17" s="17" t="str"/>
      <x:c r="E17" s="17" t="str"/>
      <x:c r="F17" s="17" t="str"/>
      <x:c r="G17" s="17" t="str"/>
      <x:c r="H17" s="17" t="str"/>
    </x:row>
    <x:row r="18">
      <x:c r="A18" s="27" t="str">
        <x:v>AVL file</x:v>
      </x:c>
      <x:c r="B18" s="17" t="str">
        <x:v>All three alternatives per line are maintained in the separate Approved Vendor List workbook.</x:v>
      </x:c>
      <x:c r="C18" s="17" t="str"/>
      <x:c r="D18" s="17" t="str"/>
      <x:c r="E18" s="17" t="str"/>
      <x:c r="F18" s="17" t="str"/>
      <x:c r="G18" s="17" t="str"/>
      <x:c r="H18" s="17" t="str"/>
    </x:row>
    <x:row r="20">
      <x:c r="A20" s="31" t="str">
        <x:v>Release warning</x:v>
      </x:c>
      <x:c r="B20" s="31"/>
      <x:c r="C20" s="31"/>
      <x:c r="D20" s="31"/>
      <x:c r="E20" s="31"/>
      <x:c r="F20" s="31"/>
      <x:c r="G20" s="31"/>
      <x:c r="H20" s="31"/>
    </x:row>
    <x:row r="21">
      <x:c r="A21" s="37" t="str">
        <x:v>This BOM is not production-released. F1–F5 still use 0805 footprints for 1206 fuse selections; J3 and SW5/SW6 still have part/footprint intent conflicts; D1–D5 still names an 0805 LED while using 0201 pads; U7 remains an input-protection engineering hold.</x:v>
      </x:c>
      <x:c r="B21" s="37"/>
      <x:c r="C21" s="37"/>
      <x:c r="D21" s="37"/>
      <x:c r="E21" s="37"/>
      <x:c r="F21" s="37"/>
      <x:c r="G21" s="37"/>
      <x:c r="H21" s="37"/>
    </x:row>
    <x:row r="22">
      <x:c r="A22" s="37"/>
      <x:c r="B22" s="37"/>
      <x:c r="C22" s="37"/>
      <x:c r="D22" s="37"/>
      <x:c r="E22" s="37"/>
      <x:c r="F22" s="37"/>
      <x:c r="G22" s="37"/>
      <x:c r="H22" s="37"/>
    </x:row>
    <x:row r="23">
      <x:c r="A23" s="37"/>
      <x:c r="B23" s="37"/>
      <x:c r="C23" s="37"/>
      <x:c r="D23" s="37"/>
      <x:c r="E23" s="37"/>
      <x:c r="F23" s="37"/>
      <x:c r="G23" s="37"/>
      <x:c r="H23" s="37"/>
    </x:row>
  </x:sheetData>
  <x:mergeCells>
    <x:mergeCell ref="A1:H1"/>
    <x:mergeCell ref="A12:H12"/>
    <x:mergeCell ref="B14:H14"/>
    <x:mergeCell ref="B15:H15"/>
    <x:mergeCell ref="B16:H16"/>
    <x:mergeCell ref="B17:H17"/>
    <x:mergeCell ref="B18:H18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4" hidden="0" customWidth="1"/>
    <x:col min="4" max="4" width="42" hidden="0" customWidth="1"/>
    <x:col min="5" max="5" width="7" hidden="0" customWidth="1"/>
    <x:col min="6" max="6" width="7" hidden="0" customWidth="1"/>
    <x:col min="7" max="7" width="24" hidden="0" customWidth="1"/>
    <x:col min="8" max="8" width="28" hidden="0" customWidth="1"/>
    <x:col min="9" max="9" width="16" hidden="0" customWidth="1"/>
    <x:col min="10" max="10" width="14" hidden="0" customWidth="1"/>
    <x:col min="11" max="11" width="28" hidden="0" customWidth="1"/>
    <x:col min="12" max="12" width="18" hidden="0" customWidth="1"/>
    <x:col min="13" max="13" width="18" hidden="0" customWidth="1"/>
    <x:col min="14" max="14" width="48" hidden="0" customWidth="1"/>
    <x:col min="15" max="15" width="42" hidden="0" customWidth="1"/>
    <x:col min="16" max="16" width="38" hidden="0" customWidth="1"/>
  </x:cols>
  <x:sheetData>
    <x:row r="1" ht="32" customHeight="1">
      <x:c r="A1" s="52" t="str">
        <x:v>Line</x:v>
      </x:c>
      <x:c r="B1" s="53" t="str">
        <x:v>Comment / Value</x:v>
      </x:c>
      <x:c r="C1" s="53" t="str">
        <x:v>Designator</x:v>
      </x:c>
      <x:c r="D1" s="53" t="str">
        <x:v>Footprint</x:v>
      </x:c>
      <x:c r="E1" s="53" t="str">
        <x:v>Qty</x:v>
      </x:c>
      <x:c r="F1" s="53" t="str">
        <x:v>DNP</x:v>
      </x:c>
      <x:c r="G1" s="53" t="str">
        <x:v>Manufacturer</x:v>
      </x:c>
      <x:c r="H1" s="53" t="str">
        <x:v>Manufacturer Part Number</x:v>
      </x:c>
      <x:c r="I1" s="53" t="str">
        <x:v>LCSC/JLCPCB Part #</x:v>
      </x:c>
      <x:c r="J1" s="53" t="str">
        <x:v>Package</x:v>
      </x:c>
      <x:c r="K1" s="53" t="str">
        <x:v>Key Specifications</x:v>
      </x:c>
      <x:c r="L1" s="53" t="str">
        <x:v>Release Status</x:v>
      </x:c>
      <x:c r="M1" s="53" t="str">
        <x:v>Compatibility</x:v>
      </x:c>
      <x:c r="N1" s="53" t="str">
        <x:v>Procurement / Engineering Note</x:v>
      </x:c>
      <x:c r="O1" s="53" t="str">
        <x:v>Source URL</x:v>
      </x:c>
      <x:c r="P1" s="54" t="str">
        <x:v>Original Datasheet / Entry</x:v>
      </x:c>
    </x:row>
    <x:row r="2">
      <x:c r="A2" s="72" t="n">
        <x:v>1</x:v>
      </x:c>
      <x:c r="B2" s="72" t="str">
        <x:v>10uF</x:v>
      </x:c>
      <x:c r="C2" s="72" t="str">
        <x:v>C1,C8,C26,C27</x:v>
      </x:c>
      <x:c r="D2" s="72" t="str">
        <x:v>Capacitor_SMD:C_0805_2012Metric</x:v>
      </x:c>
      <x:c r="E2" s="80" t="n">
        <x:v>4</x:v>
      </x:c>
      <x:c r="F2" s="72" t="str"/>
      <x:c r="G2" s="72" t="str">
        <x:v>Samsung Electro-Mechanics</x:v>
      </x:c>
      <x:c r="H2" s="72" t="str">
        <x:v>CL21A106KOQNNNE</x:v>
      </x:c>
      <x:c r="I2" s="72" t="str">
        <x:v>C1713</x:v>
      </x:c>
      <x:c r="J2" s="72" t="str">
        <x:v>0805</x:v>
      </x:c>
      <x:c r="K2" s="72" t="str">
        <x:v>10 µF, 16 V, X5R, ±10%</x:v>
      </x:c>
      <x:c r="L2" s="80" t="str">
        <x:v>READY</x:v>
      </x:c>
      <x:c r="M2" s="72" t="str">
        <x:v>Drop-in</x:v>
      </x:c>
      <x:c r="N2" s="72" t="str">
        <x:v>Package split resolved. Use the 0805 MPN only on these references; verify DC-bias derating at the actual rail.</x:v>
      </x:c>
      <x:c r="O2" s="72" t="str">
        <x:v>https://jlcpcb.com/partdetail/CL21A106KOQNNNE/C1713</x:v>
      </x:c>
      <x:c r="P2" s="72" t="str">
        <x:v>CL21A106KOQNNNE</x:v>
      </x:c>
    </x:row>
    <x:row r="3">
      <x:c r="A3" s="72" t="n">
        <x:v>2</x:v>
      </x:c>
      <x:c r="B3" s="72" t="str">
        <x:v>10uF</x:v>
      </x:c>
      <x:c r="C3" s="72" t="str">
        <x:v>C2,C28,C29</x:v>
      </x:c>
      <x:c r="D3" s="72" t="str">
        <x:v>Capacitor_SMD:C_0603_1608Metric</x:v>
      </x:c>
      <x:c r="E3" s="80" t="n">
        <x:v>3</x:v>
      </x:c>
      <x:c r="F3" s="72" t="str"/>
      <x:c r="G3" s="72" t="str">
        <x:v>Murata</x:v>
      </x:c>
      <x:c r="H3" s="72" t="str">
        <x:v>GRM188R61C106KAALD</x:v>
      </x:c>
      <x:c r="I3" s="72" t="str">
        <x:v>C86275</x:v>
      </x:c>
      <x:c r="J3" s="72" t="str">
        <x:v>0603</x:v>
      </x:c>
      <x:c r="K3" s="72" t="str">
        <x:v>10 µF, 16 V, X5R, ±10%</x:v>
      </x:c>
      <x:c r="L3" s="80" t="str">
        <x:v>VERIFY</x:v>
      </x:c>
      <x:c r="M3" s="72" t="str">
        <x:v>Drop-in</x:v>
      </x:c>
      <x:c r="N3" s="72" t="str">
        <x:v>Package split resolved. 10 µF in 0603 is strongly DC-bias dependent; confirm effective capacitance at each actual rail voltage.</x:v>
      </x:c>
      <x:c r="O3" s="72" t="str">
        <x:v>https://jlcpcb.com/partdetail/MurataElectronics-GRM188R61C106KAALD/C86275</x:v>
      </x:c>
      <x:c r="P3" s="72" t="str">
        <x:v>CL21A106KOQNNNE</x:v>
      </x:c>
    </x:row>
    <x:row r="4">
      <x:c r="A4" s="72" t="n">
        <x:v>3</x:v>
      </x:c>
      <x:c r="B4" s="72" t="str">
        <x:v>0.1uF</x:v>
      </x:c>
      <x:c r="C4" s="72" t="str">
        <x:v>C3,C4</x:v>
      </x:c>
      <x:c r="D4" s="72" t="str">
        <x:v>Capacitor_SMD:C_0603_1608Metric</x:v>
      </x:c>
      <x:c r="E4" s="80" t="n">
        <x:v>2</x:v>
      </x:c>
      <x:c r="F4" s="72" t="str"/>
      <x:c r="G4" s="72" t="str">
        <x:v>Yageo</x:v>
      </x:c>
      <x:c r="H4" s="72" t="str">
        <x:v>CC0603KRX7R9BB104</x:v>
      </x:c>
      <x:c r="I4" s="72" t="str">
        <x:v>C14663</x:v>
      </x:c>
      <x:c r="J4" s="72" t="str">
        <x:v>0603</x:v>
      </x:c>
      <x:c r="K4" s="72" t="str">
        <x:v>100 nF, 50 V, X7R, ±10%</x:v>
      </x:c>
      <x:c r="L4" s="80" t="str">
        <x:v>READY</x:v>
      </x:c>
      <x:c r="M4" s="72" t="str">
        <x:v>Drop-in</x:v>
      </x:c>
      <x:c r="N4" s="72" t="str">
        <x:v>Package split resolved; same primary also used for C10 to reduce unique line items.</x:v>
      </x:c>
      <x:c r="O4" s="72" t="str">
        <x:v>https://jlcpcb.com/partdetail/CC0603KRX7R9BB104/C14663</x:v>
      </x:c>
      <x:c r="P4" s="72" t="str"/>
    </x:row>
    <x:row r="5">
      <x:c r="A5" s="72" t="n">
        <x:v>4</x:v>
      </x:c>
      <x:c r="B5" s="72" t="str">
        <x:v>4.7uF - Eth Reference Cap</x:v>
      </x:c>
      <x:c r="C5" s="72" t="str">
        <x:v>C5</x:v>
      </x:c>
      <x:c r="D5" s="72" t="str">
        <x:v>Capacitor_SMD:C_0201_0603Metric</x:v>
      </x:c>
      <x:c r="E5" s="80" t="n">
        <x:v>1</x:v>
      </x:c>
      <x:c r="F5" s="72" t="str"/>
      <x:c r="G5" s="72" t="str">
        <x:v>Murata</x:v>
      </x:c>
      <x:c r="H5" s="72" t="str">
        <x:v>GRM033R60J475ME05D</x:v>
      </x:c>
      <x:c r="I5" s="72" t="str"/>
      <x:c r="J5" s="72" t="str">
        <x:v>0201</x:v>
      </x:c>
      <x:c r="K5" s="72" t="str">
        <x:v>4.7 µF, 6.3 V, X5R, ±20%</x:v>
      </x:c>
      <x:c r="L5" s="80" t="str">
        <x:v>VERIFY</x:v>
      </x:c>
      <x:c r="M5" s="72" t="str">
        <x:v>Drop-in</x:v>
      </x:c>
      <x:c r="N5" s="72" t="str">
        <x:v>4.7 µF in 0201 is specialty and strongly DC-bias dependent. Confirm the W5500 reference node voltage and effective capacitance; 0402/0603 is safer if layout permits. Check effective capacitance under DC bias; 0201 assembly is less forgiving.</x:v>
      </x:c>
      <x:c r="O5" s="72" t="str">
        <x:v>https://www.digikey.com/en/products/detail/murata-electronics/GRM033R60J475ME05D/16033659</x:v>
      </x:c>
      <x:c r="P5" s="72" t="str"/>
    </x:row>
    <x:row r="6">
      <x:c r="A6" s="72" t="n">
        <x:v>5</x:v>
      </x:c>
      <x:c r="B6" s="72" t="str">
        <x:v>22nF</x:v>
      </x:c>
      <x:c r="C6" s="72" t="str">
        <x:v>C6</x:v>
      </x:c>
      <x:c r="D6" s="72" t="str">
        <x:v>Capacitor_SMD:C_0201_0603Metric</x:v>
      </x:c>
      <x:c r="E6" s="80" t="n">
        <x:v>1</x:v>
      </x:c>
      <x:c r="F6" s="72" t="str"/>
      <x:c r="G6" s="72" t="str">
        <x:v>Murata</x:v>
      </x:c>
      <x:c r="H6" s="72" t="str">
        <x:v>GRM033R71H223KA12D</x:v>
      </x:c>
      <x:c r="I6" s="72" t="str"/>
      <x:c r="J6" s="72" t="str">
        <x:v>0201</x:v>
      </x:c>
      <x:c r="K6" s="72" t="str">
        <x:v>22 nF, 50 V, X7R, ±10%</x:v>
      </x:c>
      <x:c r="L6" s="80" t="str">
        <x:v>READY</x:v>
      </x:c>
      <x:c r="M6" s="72" t="str">
        <x:v>Drop-in</x:v>
      </x:c>
      <x:c r="N6" s="72" t="str">
        <x:v>Commodity X7R. Keep 50 V rating for margin.</x:v>
      </x:c>
      <x:c r="O6" s="72" t="str">
        <x:v>https://www.digikey.com/en/products/result?keywords=GRM033R71H223KA12D</x:v>
      </x:c>
      <x:c r="P6" s="72" t="str"/>
    </x:row>
    <x:row r="7">
      <x:c r="A7" s="72" t="n">
        <x:v>6</x:v>
      </x:c>
      <x:c r="B7" s="72" t="str">
        <x:v>0.1uF</x:v>
      </x:c>
      <x:c r="C7" s="72" t="str">
        <x:v>C7</x:v>
      </x:c>
      <x:c r="D7" s="72" t="str">
        <x:v>Capacitor_SMD:C_0201_0603Metric</x:v>
      </x:c>
      <x:c r="E7" s="80" t="n">
        <x:v>1</x:v>
      </x:c>
      <x:c r="F7" s="72" t="str"/>
      <x:c r="G7" s="72" t="str">
        <x:v>Samsung Electro-Mechanics</x:v>
      </x:c>
      <x:c r="H7" s="72" t="str">
        <x:v>CL03A104KA3NNNC</x:v>
      </x:c>
      <x:c r="I7" s="72" t="str">
        <x:v>C307379</x:v>
      </x:c>
      <x:c r="J7" s="72" t="str">
        <x:v>0201</x:v>
      </x:c>
      <x:c r="K7" s="72" t="str">
        <x:v>100 nF, 25 V, X5R, ±10%</x:v>
      </x:c>
      <x:c r="L7" s="80" t="str">
        <x:v>READY</x:v>
      </x:c>
      <x:c r="M7" s="72" t="str">
        <x:v>Drop-in</x:v>
      </x:c>
      <x:c r="N7" s="72" t="str">
        <x:v>Package split resolved. JLC normally treats 0201 assembly as Standard PCBA; verify effective capacitance only if used on a higher-bias node.</x:v>
      </x:c>
      <x:c r="O7" s="72" t="str">
        <x:v>https://jlcpcb.com/partdetail/291053-CL03A104KA3NNNC/C307379</x:v>
      </x:c>
      <x:c r="P7" s="72" t="str"/>
    </x:row>
    <x:row r="8">
      <x:c r="A8" s="72" t="n">
        <x:v>7</x:v>
      </x:c>
      <x:c r="B8" s="72" t="str">
        <x:v>100uF - Electrolytic</x:v>
      </x:c>
      <x:c r="C8" s="72" t="str">
        <x:v>C9</x:v>
      </x:c>
      <x:c r="D8" s="72" t="str">
        <x:v>Capacitor_SMD:C_Elec_6.3x7.7</x:v>
      </x:c>
      <x:c r="E8" s="80" t="n">
        <x:v>1</x:v>
      </x:c>
      <x:c r="F8" s="72" t="str"/>
      <x:c r="G8" s="72" t="str">
        <x:v>Panasonic</x:v>
      </x:c>
      <x:c r="H8" s="72" t="str">
        <x:v>EEE-FK1E101P</x:v>
      </x:c>
      <x:c r="I8" s="72" t="str"/>
      <x:c r="J8" s="72" t="str">
        <x:v>6.3 x 7.7 mm SMD can</x:v>
      </x:c>
      <x:c r="K8" s="72" t="str">
        <x:v>100 µF, 25 V, low-ESR aluminum electrolytic</x:v>
      </x:c>
      <x:c r="L8" s="80" t="str">
        <x:v>VERIFY</x:v>
      </x:c>
      <x:c r="M8" s="72" t="str">
        <x:v>Mechanical match; verify land pattern</x:v>
      </x:c>
      <x:c r="N8" s="72" t="str">
        <x:v>Assumed 12 V input bulk capacitor; use ≥25 V and verify ESR/ripple-current and exact 6.3 x 7.7 mm land pattern.</x:v>
      </x:c>
      <x:c r="O8" s="72" t="str">
        <x:v>https://www.digikey.com/en/products/result?keywords=EEE-FK1E101P</x:v>
      </x:c>
      <x:c r="P8" s="72" t="str"/>
    </x:row>
    <x:row r="9">
      <x:c r="A9" s="72" t="n">
        <x:v>8</x:v>
      </x:c>
      <x:c r="B9" s="72" t="str">
        <x:v>100nF - Ceramic</x:v>
      </x:c>
      <x:c r="C9" s="72" t="str">
        <x:v>C10</x:v>
      </x:c>
      <x:c r="D9" s="72" t="str">
        <x:v>Capacitor_SMD:C_0603_1608Metric</x:v>
      </x:c>
      <x:c r="E9" s="80" t="n">
        <x:v>1</x:v>
      </x:c>
      <x:c r="F9" s="72" t="str"/>
      <x:c r="G9" s="72" t="str">
        <x:v>Yageo</x:v>
      </x:c>
      <x:c r="H9" s="72" t="str">
        <x:v>CC0603KRX7R9BB104</x:v>
      </x:c>
      <x:c r="I9" s="72" t="str">
        <x:v>C14663</x:v>
      </x:c>
      <x:c r="J9" s="72" t="str">
        <x:v>0603</x:v>
      </x:c>
      <x:c r="K9" s="72" t="str">
        <x:v>100 nF, 50 V, X7R, ±10%</x:v>
      </x:c>
      <x:c r="L9" s="80" t="str">
        <x:v>READY</x:v>
      </x:c>
      <x:c r="M9" s="72" t="str">
        <x:v>Drop-in</x:v>
      </x:c>
      <x:c r="N9" s="72" t="str">
        <x:v>Commodity 50 V X7R.</x:v>
      </x:c>
      <x:c r="O9" s="72" t="str">
        <x:v>https://jlcpcb.com/partdetail/CC0603KRX7R9BB104/C14663</x:v>
      </x:c>
      <x:c r="P9" s="72" t="str"/>
    </x:row>
    <x:row r="10">
      <x:c r="A10" s="72" t="n">
        <x:v>9</x:v>
      </x:c>
      <x:c r="B10" s="72" t="str">
        <x:v>0.1uF</x:v>
      </x:c>
      <x:c r="C10" s="72" t="str">
        <x:v>C11,C12,C13,C14,C15,C16</x:v>
      </x:c>
      <x:c r="D10" s="72" t="str">
        <x:v>Capacitor_SMD:C_0402_1005Metric</x:v>
      </x:c>
      <x:c r="E10" s="80" t="n">
        <x:v>6</x:v>
      </x:c>
      <x:c r="F10" s="72" t="str"/>
      <x:c r="G10" s="72" t="str">
        <x:v>Samsung Electro-Mechanics</x:v>
      </x:c>
      <x:c r="H10" s="72" t="str">
        <x:v>CL05B104KO5NNNC</x:v>
      </x:c>
      <x:c r="I10" s="72" t="str">
        <x:v>C1525</x:v>
      </x:c>
      <x:c r="J10" s="72" t="str">
        <x:v>0402</x:v>
      </x:c>
      <x:c r="K10" s="72" t="str">
        <x:v>100 nF, 16 V, X7R, ±10%</x:v>
      </x:c>
      <x:c r="L10" s="80" t="str">
        <x:v>READY</x:v>
      </x:c>
      <x:c r="M10" s="72" t="str">
        <x:v>Drop-in</x:v>
      </x:c>
      <x:c r="N10" s="72" t="str">
        <x:v>Package split resolved. 16 V rating is adequate for the 3.3 V/5 V decoupling use implied here; use a 50 V alternative if any reference is on a higher rail.</x:v>
      </x:c>
      <x:c r="O10" s="72" t="str">
        <x:v>https://jlcpcb.com/parts/basic_parts/</x:v>
      </x:c>
      <x:c r="P10" s="72" t="str"/>
    </x:row>
    <x:row r="11">
      <x:c r="A11" s="72" t="n">
        <x:v>10</x:v>
      </x:c>
      <x:c r="B11" s="72" t="str">
        <x:v>6.8nF</x:v>
      </x:c>
      <x:c r="C11" s="72" t="str">
        <x:v>C17,C19</x:v>
      </x:c>
      <x:c r="D11" s="72" t="str">
        <x:v>Capacitor_SMD:C_0201_0603Metric</x:v>
      </x:c>
      <x:c r="E11" s="80" t="n">
        <x:v>2</x:v>
      </x:c>
      <x:c r="F11" s="72" t="str"/>
      <x:c r="G11" s="72" t="str">
        <x:v>Murata</x:v>
      </x:c>
      <x:c r="H11" s="72" t="str">
        <x:v>GRM033R71H682KA12D</x:v>
      </x:c>
      <x:c r="I11" s="72" t="str"/>
      <x:c r="J11" s="72" t="str">
        <x:v>0201</x:v>
      </x:c>
      <x:c r="K11" s="72" t="str">
        <x:v>6.8 nF, 50 V, X7R, ±10%</x:v>
      </x:c>
      <x:c r="L11" s="80" t="str">
        <x:v>READY</x:v>
      </x:c>
      <x:c r="M11" s="72" t="str">
        <x:v>Drop-in</x:v>
      </x:c>
      <x:c r="N11" s="72" t="str">
        <x:v>Commodity X7R; verify W5500 network value against schematic.</x:v>
      </x:c>
      <x:c r="O11" s="72" t="str">
        <x:v>https://www.digikey.com/en/products/result?keywords=GRM033R71H682KA12D</x:v>
      </x:c>
      <x:c r="P11" s="72" t="str"/>
    </x:row>
    <x:row r="12">
      <x:c r="A12" s="72" t="n">
        <x:v>11</x:v>
      </x:c>
      <x:c r="B12" s="72" t="str">
        <x:v>10uF / 16V</x:v>
      </x:c>
      <x:c r="C12" s="72" t="str">
        <x:v>C18</x:v>
      </x:c>
      <x:c r="D12" s="72" t="str">
        <x:v>Capacitor_SMD:C_0805_2012Metric</x:v>
      </x:c>
      <x:c r="E12" s="80" t="n">
        <x:v>1</x:v>
      </x:c>
      <x:c r="F12" s="72" t="str"/>
      <x:c r="G12" s="72" t="str">
        <x:v>Samsung Electro-Mechanics</x:v>
      </x:c>
      <x:c r="H12" s="72" t="str">
        <x:v>CL21A106KOQNNNE</x:v>
      </x:c>
      <x:c r="I12" s="72" t="str"/>
      <x:c r="J12" s="72" t="str">
        <x:v>0805</x:v>
      </x:c>
      <x:c r="K12" s="72" t="str">
        <x:v>10 µF, 16 V, X5R, ±10%</x:v>
      </x:c>
      <x:c r="L12" s="80" t="str">
        <x:v>READY</x:v>
      </x:c>
      <x:c r="M12" s="72" t="str">
        <x:v>Drop-in</x:v>
      </x:c>
      <x:c r="N12" s="72" t="str">
        <x:v>Use 16 V minimum; evaluate DC-bias derating at the actual rail.</x:v>
      </x:c>
      <x:c r="O12" s="72" t="str">
        <x:v>https://www.digikey.com/en/products/detail/samsung-electro-mechanics/CL21A106KOQNNNE/3886754</x:v>
      </x:c>
      <x:c r="P12" s="72" t="str"/>
    </x:row>
    <x:row r="13">
      <x:c r="A13" s="72" t="n">
        <x:v>12</x:v>
      </x:c>
      <x:c r="B13" s="72" t="str">
        <x:v>10nF</x:v>
      </x:c>
      <x:c r="C13" s="72" t="str">
        <x:v>C20,C23</x:v>
      </x:c>
      <x:c r="D13" s="72" t="str">
        <x:v>Capacitor_SMD:C_0201_0603Metric</x:v>
      </x:c>
      <x:c r="E13" s="80" t="n">
        <x:v>2</x:v>
      </x:c>
      <x:c r="F13" s="72" t="str"/>
      <x:c r="G13" s="72" t="str">
        <x:v>Murata</x:v>
      </x:c>
      <x:c r="H13" s="72" t="str">
        <x:v>GRM033R71H103KA12D</x:v>
      </x:c>
      <x:c r="I13" s="72" t="str"/>
      <x:c r="J13" s="72" t="str">
        <x:v>0201</x:v>
      </x:c>
      <x:c r="K13" s="72" t="str">
        <x:v>10 nF, 50 V, X7R, ±10%</x:v>
      </x:c>
      <x:c r="L13" s="80" t="str">
        <x:v>READY</x:v>
      </x:c>
      <x:c r="M13" s="72" t="str">
        <x:v>Drop-in</x:v>
      </x:c>
      <x:c r="N13" s="72" t="str">
        <x:v>Commodity X7R.</x:v>
      </x:c>
      <x:c r="O13" s="72" t="str">
        <x:v>https://www.digikey.com/en/products/result?keywords=GRM033R71H103KA12D</x:v>
      </x:c>
      <x:c r="P13" s="72" t="str"/>
    </x:row>
    <x:row r="14">
      <x:c r="A14" s="72" t="n">
        <x:v>13</x:v>
      </x:c>
      <x:c r="B14" s="72" t="str">
        <x:v>18pF</x:v>
      </x:c>
      <x:c r="C14" s="72" t="str">
        <x:v>C21,C22</x:v>
      </x:c>
      <x:c r="D14" s="72" t="str">
        <x:v>Capacitor_SMD:C_0201_0603Metric</x:v>
      </x:c>
      <x:c r="E14" s="80" t="n">
        <x:v>2</x:v>
      </x:c>
      <x:c r="F14" s="72" t="str"/>
      <x:c r="G14" s="72" t="str">
        <x:v>Murata</x:v>
      </x:c>
      <x:c r="H14" s="72" t="str">
        <x:v>GRM0335C1H180JA01D</x:v>
      </x:c>
      <x:c r="I14" s="72" t="str"/>
      <x:c r="J14" s="72" t="str">
        <x:v>0201</x:v>
      </x:c>
      <x:c r="K14" s="72" t="str">
        <x:v>18 pF, 50 V, C0G/NP0, ±5%</x:v>
      </x:c>
      <x:c r="L14" s="80" t="str">
        <x:v>READY</x:v>
      </x:c>
      <x:c r="M14" s="72" t="str">
        <x:v>Drop-in</x:v>
      </x:c>
      <x:c r="N14" s="72" t="str">
        <x:v>Use C0G/NP0 for crystal load capacitors.</x:v>
      </x:c>
      <x:c r="O14" s="72" t="str">
        <x:v>https://www.digikey.com/en/products/result?keywords=GRM0335C1H180JA01D</x:v>
      </x:c>
      <x:c r="P14" s="72" t="str"/>
    </x:row>
    <x:row r="15">
      <x:c r="A15" s="72" t="n">
        <x:v>14</x:v>
      </x:c>
      <x:c r="B15" s="72" t="str">
        <x:v>1uF - Ceramic</x:v>
      </x:c>
      <x:c r="C15" s="72" t="str">
        <x:v>C24</x:v>
      </x:c>
      <x:c r="D15" s="72" t="str">
        <x:v>Capacitor_SMD:C_0805_2012Metric</x:v>
      </x:c>
      <x:c r="E15" s="80" t="n">
        <x:v>1</x:v>
      </x:c>
      <x:c r="F15" s="72" t="str"/>
      <x:c r="G15" s="72" t="str">
        <x:v>Samsung Electro-Mechanics</x:v>
      </x:c>
      <x:c r="H15" s="72" t="str">
        <x:v>CL21A105KAFNNNE</x:v>
      </x:c>
      <x:c r="I15" s="72" t="str">
        <x:v>C95840</x:v>
      </x:c>
      <x:c r="J15" s="72" t="str">
        <x:v>0805</x:v>
      </x:c>
      <x:c r="K15" s="72" t="str">
        <x:v>1 µF, 25 V, X5R, ±10%</x:v>
      </x:c>
      <x:c r="L15" s="80" t="str">
        <x:v>READY</x:v>
      </x:c>
      <x:c r="M15" s="72" t="str">
        <x:v>Drop-in</x:v>
      </x:c>
      <x:c r="N15" s="72" t="str">
        <x:v>25 V X7R preferred for broad reuse.</x:v>
      </x:c>
      <x:c r="O15" s="72" t="str">
        <x:v>https://jlcpcb.com/partdetail/97044-CL21A105KAFNNNE/C95840</x:v>
      </x:c>
      <x:c r="P15" s="72" t="str"/>
    </x:row>
    <x:row r="16">
      <x:c r="A16" s="72" t="n">
        <x:v>15</x:v>
      </x:c>
      <x:c r="B16" s="72" t="str">
        <x:v>100nF</x:v>
      </x:c>
      <x:c r="C16" s="72" t="str">
        <x:v>C25</x:v>
      </x:c>
      <x:c r="D16" s="72" t="str">
        <x:v>Capacitor_SMD:C_0201_0603Metric</x:v>
      </x:c>
      <x:c r="E16" s="80" t="n">
        <x:v>1</x:v>
      </x:c>
      <x:c r="F16" s="72" t="str"/>
      <x:c r="G16" s="72" t="str">
        <x:v>Samsung Electro-Mechanics</x:v>
      </x:c>
      <x:c r="H16" s="72" t="str">
        <x:v>CL03A104KA3NNNC</x:v>
      </x:c>
      <x:c r="I16" s="72" t="str">
        <x:v>C307379</x:v>
      </x:c>
      <x:c r="J16" s="72" t="str">
        <x:v>0201</x:v>
      </x:c>
      <x:c r="K16" s="72" t="str">
        <x:v>100 nF, 25 V, X5R, ±10%</x:v>
      </x:c>
      <x:c r="L16" s="80" t="str">
        <x:v>READY</x:v>
      </x:c>
      <x:c r="M16" s="72" t="str">
        <x:v>Drop-in</x:v>
      </x:c>
      <x:c r="N16" s="72" t="str">
        <x:v>Consolidated with C7. JLC normally treats 0201 assembly as Standard PCBA.</x:v>
      </x:c>
      <x:c r="O16" s="72" t="str">
        <x:v>https://jlcpcb.com/partdetail/291053-CL03A104KA3NNNC/C307379</x:v>
      </x:c>
      <x:c r="P16" s="72" t="str"/>
    </x:row>
    <x:row r="17">
      <x:c r="A17" s="72" t="n">
        <x:v>16</x:v>
      </x:c>
      <x:c r="B17" s="72" t="str">
        <x:v>22uF</x:v>
      </x:c>
      <x:c r="C17" s="72" t="str">
        <x:v>C30,C31</x:v>
      </x:c>
      <x:c r="D17" s="72" t="str">
        <x:v>Capacitor_SMD:C_0805_2012Metric</x:v>
      </x:c>
      <x:c r="E17" s="80" t="n">
        <x:v>2</x:v>
      </x:c>
      <x:c r="F17" s="72" t="str"/>
      <x:c r="G17" s="72" t="str">
        <x:v>Murata</x:v>
      </x:c>
      <x:c r="H17" s="72" t="str">
        <x:v>GRM21BR61A226ME44K</x:v>
      </x:c>
      <x:c r="I17" s="72" t="str"/>
      <x:c r="J17" s="72" t="str">
        <x:v>0805</x:v>
      </x:c>
      <x:c r="K17" s="72" t="str">
        <x:v>22 µF, 10 V, X5R, ±20%</x:v>
      </x:c>
      <x:c r="L17" s="80" t="str">
        <x:v>VERIFY</x:v>
      </x:c>
      <x:c r="M17" s="72" t="str">
        <x:v>Drop-in</x:v>
      </x:c>
      <x:c r="N17" s="72" t="str">
        <x:v>Primary MPN corrected to a true 22 µF 0805 part. Verify 10 V rating and effective capacitance at the actual rail voltage.</x:v>
      </x:c>
      <x:c r="O17" s="72" t="str">
        <x:v>https://www.digikey.com/en/products/detail/murata-electronics/GRM21BR61A226ME44K/26223516</x:v>
      </x:c>
      <x:c r="P17" s="72" t="str">
        <x:v>CL21A106KOQNNNE</x:v>
      </x:c>
    </x:row>
    <x:row r="18">
      <x:c r="A18" s="72" t="n">
        <x:v>17</x:v>
      </x:c>
      <x:c r="B18" s="72" t="str">
        <x:v>1uF</x:v>
      </x:c>
      <x:c r="C18" s="72" t="str">
        <x:v>C32,C33,C34,C35</x:v>
      </x:c>
      <x:c r="D18" s="72" t="str">
        <x:v>Capacitor_SMD:C_0805_2012Metric</x:v>
      </x:c>
      <x:c r="E18" s="80" t="n">
        <x:v>4</x:v>
      </x:c>
      <x:c r="F18" s="72" t="str"/>
      <x:c r="G18" s="72" t="str">
        <x:v>Samsung Electro-Mechanics</x:v>
      </x:c>
      <x:c r="H18" s="72" t="str">
        <x:v>CL21A105KAFNNNE</x:v>
      </x:c>
      <x:c r="I18" s="72" t="str">
        <x:v>C95840</x:v>
      </x:c>
      <x:c r="J18" s="72" t="str">
        <x:v>0805</x:v>
      </x:c>
      <x:c r="K18" s="72" t="str">
        <x:v>1 µF, 25 V, X5R, ±10%</x:v>
      </x:c>
      <x:c r="L18" s="80" t="str">
        <x:v>READY</x:v>
      </x:c>
      <x:c r="M18" s="72" t="str">
        <x:v>Drop-in</x:v>
      </x:c>
      <x:c r="N18" s="72" t="str">
        <x:v>Package split resolved; same primary also used for C24 to reduce unique parts.</x:v>
      </x:c>
      <x:c r="O18" s="72" t="str">
        <x:v>https://jlcpcb.com/partdetail/97044-CL21A105KAFNNNE/C95840</x:v>
      </x:c>
      <x:c r="P18" s="72" t="str"/>
    </x:row>
    <x:row r="19">
      <x:c r="A19" s="72" t="n">
        <x:v>18</x:v>
      </x:c>
      <x:c r="B19" s="72" t="str">
        <x:v>1uF</x:v>
      </x:c>
      <x:c r="C19" s="72" t="str">
        <x:v>C36,C37</x:v>
      </x:c>
      <x:c r="D19" s="72" t="str">
        <x:v>Capacitor_SMD:C_0402_1005Metric</x:v>
      </x:c>
      <x:c r="E19" s="80" t="n">
        <x:v>2</x:v>
      </x:c>
      <x:c r="F19" s="72" t="str"/>
      <x:c r="G19" s="72" t="str">
        <x:v>Samsung Electro-Mechanics</x:v>
      </x:c>
      <x:c r="H19" s="72" t="str">
        <x:v>CL05A105KO5NNNC</x:v>
      </x:c>
      <x:c r="I19" s="72" t="str">
        <x:v>C29266</x:v>
      </x:c>
      <x:c r="J19" s="72" t="str">
        <x:v>0402</x:v>
      </x:c>
      <x:c r="K19" s="72" t="str">
        <x:v>1 µF, 16 V, X5R, ±10%</x:v>
      </x:c>
      <x:c r="L19" s="80" t="str">
        <x:v>READY</x:v>
      </x:c>
      <x:c r="M19" s="72" t="str">
        <x:v>Drop-in</x:v>
      </x:c>
      <x:c r="N19" s="72" t="str">
        <x:v>Package split resolved. Verify DC-bias derating if the capacitor is used as bulk rather than local decoupling.</x:v>
      </x:c>
      <x:c r="O19" s="72" t="str">
        <x:v>https://jlcpcb.com/partdetail/C29266</x:v>
      </x:c>
      <x:c r="P19" s="72" t="str"/>
    </x:row>
    <x:row r="20">
      <x:c r="A20" s="72" t="n">
        <x:v>19</x:v>
      </x:c>
      <x:c r="B20" s="72" t="str">
        <x:v>LED VO-PT2012SEAC</x:v>
      </x:c>
      <x:c r="C20" s="72" t="str">
        <x:v>D1,D2,D3,D4,D5</x:v>
      </x:c>
      <x:c r="D20" s="72" t="str">
        <x:v>LED_SMD:LED_0201_0603Metric</x:v>
      </x:c>
      <x:c r="E20" s="80" t="n">
        <x:v>5</x:v>
      </x:c>
      <x:c r="F20" s="72" t="str"/>
      <x:c r="G20" s="72" t="str">
        <x:v>Lite-On</x:v>
      </x:c>
      <x:c r="H20" s="72" t="str">
        <x:v>LTST-FC03AD-5A</x:v>
      </x:c>
      <x:c r="I20" s="72" t="str">
        <x:v>C20617265</x:v>
      </x:c>
      <x:c r="J20" s="72" t="str">
        <x:v>LED 0201</x:v>
      </x:c>
      <x:c r="K20" s="72" t="str">
        <x:v>Amber/yellow indicator LED; verify Vf and polarity</x:v>
      </x:c>
      <x:c r="L20" s="80" t="str">
        <x:v>BLOCKER</x:v>
      </x:c>
      <x:c r="M20" s="72" t="str">
        <x:v>Drop-in</x:v>
      </x:c>
      <x:c r="N20" s="72" t="str">
        <x:v>VO-PT2012SEAC is a 2012/0805 LED and cannot fit the 0201 footprint. The candidates are actual 0201 LEDs; confirm desired color and resistor current.</x:v>
      </x:c>
      <x:c r="O20" s="72" t="str">
        <x:v>https://jlcpcb.com/partdetail/LiteOn-LTST_FC03AD5A/C20617265</x:v>
      </x:c>
      <x:c r="P20" s="72" t="str"/>
    </x:row>
    <x:row r="21">
      <x:c r="A21" s="72" t="n">
        <x:v>20</x:v>
      </x:c>
      <x:c r="B21" s="72" t="str">
        <x:v>LED</x:v>
      </x:c>
      <x:c r="C21" s="72" t="str">
        <x:v>D6</x:v>
      </x:c>
      <x:c r="D21" s="72" t="str">
        <x:v>LED_SMD:LED_0201_0603Metric</x:v>
      </x:c>
      <x:c r="E21" s="80" t="n">
        <x:v>1</x:v>
      </x:c>
      <x:c r="F21" s="72" t="str"/>
      <x:c r="G21" s="72" t="str">
        <x:v>Lite-On</x:v>
      </x:c>
      <x:c r="H21" s="72" t="str">
        <x:v>LTST-FC03ED-5A</x:v>
      </x:c>
      <x:c r="I21" s="72" t="str">
        <x:v>C20617267</x:v>
      </x:c>
      <x:c r="J21" s="72" t="str">
        <x:v>LED 0201</x:v>
      </x:c>
      <x:c r="K21" s="72" t="str">
        <x:v>Red indicator LED; verify desired color</x:v>
      </x:c>
      <x:c r="L21" s="80" t="str">
        <x:v>VERIFY</x:v>
      </x:c>
      <x:c r="M21" s="72" t="str">
        <x:v>Drop-in</x:v>
      </x:c>
      <x:c r="N21" s="72" t="str">
        <x:v>No color specified. Pick a 0201 LED color and verify polarity/Vf with the series resistor.</x:v>
      </x:c>
      <x:c r="O21" s="72" t="str">
        <x:v>https://jlcpcb.com/partdetail/LiteOn-LTST_FC03ED5A/C20617267</x:v>
      </x:c>
      <x:c r="P21" s="72" t="str"/>
    </x:row>
    <x:row r="22">
      <x:c r="A22" s="72" t="n">
        <x:v>21</x:v>
      </x:c>
      <x:c r="B22" s="72" t="str">
        <x:v>0685T5000</x:v>
      </x:c>
      <x:c r="C22" s="72" t="str">
        <x:v>F1,F2,F5</x:v>
      </x:c>
      <x:c r="D22" s="72" t="str">
        <x:v>Fuse:Fuse_0805_2012Metric</x:v>
      </x:c>
      <x:c r="E22" s="80" t="n">
        <x:v>3</x:v>
      </x:c>
      <x:c r="F22" s="72" t="str"/>
      <x:c r="G22" s="72" t="str">
        <x:v>Bel Fuse</x:v>
      </x:c>
      <x:c r="H22" s="72" t="str">
        <x:v>0685T5000-01</x:v>
      </x:c>
      <x:c r="I22" s="72" t="str"/>
      <x:c r="J22" s="72" t="str">
        <x:v>1206</x:v>
      </x:c>
      <x:c r="K22" s="72" t="str">
        <x:v>5 A, 63 V AC/DC, time-delay fuse</x:v>
      </x:c>
      <x:c r="L22" s="80" t="str">
        <x:v>BLOCKER</x:v>
      </x:c>
      <x:c r="M22" s="72" t="str">
        <x:v>Layout change: current BOM footprint is 0805</x:v>
      </x:c>
      <x:c r="N22" s="72" t="str">
        <x:v>Bel 0685T5000 is a 1206-family fuse, not 0805. Change footprint to 1206 and verify slow-blow behavior/interrupt rating.</x:v>
      </x:c>
      <x:c r="O22" s="72" t="str">
        <x:v>https://www.digikey.com/en/products/detail/bel-fuse-inc/0685T5000-01/4967966</x:v>
      </x:c>
      <x:c r="P22" s="72" t="str"/>
    </x:row>
    <x:row r="23">
      <x:c r="A23" s="72" t="n">
        <x:v>22</x:v>
      </x:c>
      <x:c r="B23" s="72" t="str">
        <x:v>0685T5000-01</x:v>
      </x:c>
      <x:c r="C23" s="72" t="str">
        <x:v>F3,F4</x:v>
      </x:c>
      <x:c r="D23" s="72" t="str">
        <x:v>Fuse:Fuse_0805_2012Metric</x:v>
      </x:c>
      <x:c r="E23" s="80" t="n">
        <x:v>2</x:v>
      </x:c>
      <x:c r="F23" s="72" t="str"/>
      <x:c r="G23" s="72" t="str">
        <x:v>Bel Fuse</x:v>
      </x:c>
      <x:c r="H23" s="72" t="str">
        <x:v>0685T5000-01</x:v>
      </x:c>
      <x:c r="I23" s="72" t="str"/>
      <x:c r="J23" s="72" t="str">
        <x:v>1206</x:v>
      </x:c>
      <x:c r="K23" s="72" t="str">
        <x:v>5 A, 63 V AC/DC, time-delay fuse</x:v>
      </x:c>
      <x:c r="L23" s="80" t="str">
        <x:v>BLOCKER</x:v>
      </x:c>
      <x:c r="M23" s="72" t="str">
        <x:v>Layout change: current BOM footprint is 0805</x:v>
      </x:c>
      <x:c r="N23" s="72" t="str">
        <x:v>0685T5000-01 is 1206, not 0805. Change footprint to 1206.</x:v>
      </x:c>
      <x:c r="O23" s="72" t="str">
        <x:v>https://www.digikey.com/en/products/detail/bel-fuse-inc/0685T5000-01/4967966</x:v>
      </x:c>
      <x:c r="P23" s="72" t="str"/>
    </x:row>
    <x:row r="24">
      <x:c r="A24" s="72" t="n">
        <x:v>23</x:v>
      </x:c>
      <x:c r="B24" s="72" t="str">
        <x:v>12</x:v>
      </x:c>
      <x:c r="C24" s="72" t="str">
        <x:v>J1</x:v>
      </x:c>
      <x:c r="D24" s="72" t="str">
        <x:v>Connector_BarrelJack:BarrelJack_CUI_PJ-102AH_Horizontal</x:v>
      </x:c>
      <x:c r="E24" s="80" t="n">
        <x:v>1</x:v>
      </x:c>
      <x:c r="F24" s="72" t="str"/>
      <x:c r="G24" s="72" t="str">
        <x:v>Same Sky / CUI Devices</x:v>
      </x:c>
      <x:c r="H24" s="72" t="str">
        <x:v>PJ-102AH</x:v>
      </x:c>
      <x:c r="I24" s="72" t="str">
        <x:v>C9900001188</x:v>
      </x:c>
      <x:c r="J24" s="72" t="str">
        <x:v>THT horizontal barrel jack</x:v>
      </x:c>
      <x:c r="K24" s="72" t="str">
        <x:v>2.0 mm center pin, switched contact; verify adapter plug/current</x:v>
      </x:c>
      <x:c r="L24" s="80" t="str">
        <x:v>VERIFY</x:v>
      </x:c>
      <x:c r="M24" s="72" t="str">
        <x:v>Drop-in</x:v>
      </x:c>
      <x:c r="N24" s="72" t="str">
        <x:v>Exact jack can be sourced, but JLC availability may require pre-order/consignment. Confirm adapter plug size, polarity, current, and switched-pin use.</x:v>
      </x:c>
      <x:c r="O24" s="72" t="str">
        <x:v>https://jlcpcb.com/partdetail/CUIDevices-PJ102AH/C9900001188</x:v>
      </x:c>
      <x:c r="P24" s="72" t="str"/>
    </x:row>
    <x:row r="25">
      <x:c r="A25" s="72" t="n">
        <x:v>24</x:v>
      </x:c>
      <x:c r="B25" s="72" t="str">
        <x:v>RJ45_Hanrun_HR911105A_Horizontal</x:v>
      </x:c>
      <x:c r="C25" s="72" t="str">
        <x:v>J2</x:v>
      </x:c>
      <x:c r="D25" s="72" t="str">
        <x:v>Connector_RJ:RJ45_Hanrun_HR911105A_Horizontal</x:v>
      </x:c>
      <x:c r="E25" s="80" t="n">
        <x:v>1</x:v>
      </x:c>
      <x:c r="F25" s="72" t="str"/>
      <x:c r="G25" s="72" t="str">
        <x:v>HanRun</x:v>
      </x:c>
      <x:c r="H25" s="72" t="str">
        <x:v>HR911105A</x:v>
      </x:c>
      <x:c r="I25" s="72" t="str">
        <x:v>C12074</x:v>
      </x:c>
      <x:c r="J25" s="72" t="str">
        <x:v>THT MagJack</x:v>
      </x:c>
      <x:c r="K25" s="72" t="str">
        <x:v>10/100BASE-T, integrated magnetics and LEDs</x:v>
      </x:c>
      <x:c r="L25" s="80" t="str">
        <x:v>READY</x:v>
      </x:c>
      <x:c r="M25" s="72" t="str">
        <x:v>Drop-in</x:v>
      </x:c>
      <x:c r="N25" s="72" t="str">
        <x:v>HR911105A is cheap and widely stocked at JLC; alternatives are not guaranteed pin-compatible.</x:v>
      </x:c>
      <x:c r="O25" s="72" t="str">
        <x:v>https://jlcpcb.com/partdetail/HanRun-HR911105A/C12074</x:v>
      </x:c>
      <x:c r="P25" s="72" t="str">
        <x:v>https://datasheet.lcsc.com/lcsc/1811141815_HANRUN-Zhongshan-HanRun-Elec-HR911105A_C12074.pdf</x:v>
      </x:c>
    </x:row>
    <x:row r="26">
      <x:c r="A26" s="72" t="n">
        <x:v>25</x:v>
      </x:c>
      <x:c r="B26" s="72" t="str">
        <x:v>B4B-PH-SM4-TB</x:v>
      </x:c>
      <x:c r="C26" s="72" t="str">
        <x:v>J3</x:v>
      </x:c>
      <x:c r="D26" s="72" t="str">
        <x:v>Connector_PinHeader_2.54mm:PinHeader_1x04_P2.54mm_Vertical</x:v>
      </x:c>
      <x:c r="E26" s="80" t="n">
        <x:v>1</x:v>
      </x:c>
      <x:c r="F26" s="72" t="str"/>
      <x:c r="G26" s="72" t="str">
        <x:v>BOOMELE / generic</x:v>
      </x:c>
      <x:c r="H26" s="72" t="str">
        <x:v>2.54-1*4P</x:v>
      </x:c>
      <x:c r="I26" s="72" t="str">
        <x:v>C49257</x:v>
      </x:c>
      <x:c r="J26" s="72" t="str">
        <x:v>1x4, 2.54 mm, vertical THT</x:v>
      </x:c>
      <x:c r="K26" s="72" t="str">
        <x:v>Standard male pin header</x:v>
      </x:c>
      <x:c r="L26" s="80" t="str">
        <x:v>BLOCKER</x:v>
      </x:c>
      <x:c r="M26" s="72" t="str">
        <x:v>Matches current KiCad footprint; not JST-PH</x:v>
      </x:c>
      <x:c r="N26" s="72" t="str">
        <x:v>B4B-PH-SM4-TB is a 2.0 mm SMT JST-PH header, while the footprint is a 2.54 mm THT pin header. Primary below matches the footprint, not the stated JST part.</x:v>
      </x:c>
      <x:c r="O26" s="72" t="str">
        <x:v>https://www.lcsc.com/search?q=C49257</x:v>
      </x:c>
      <x:c r="P26" s="72" t="str">
        <x:v>B4B-PH-SM4-TB</x:v>
      </x:c>
    </x:row>
    <x:row r="27">
      <x:c r="A27" s="72" t="n">
        <x:v>26</x:v>
      </x:c>
      <x:c r="B27" s="72" t="str">
        <x:v>Screw_Terminal_01x03</x:v>
      </x:c>
      <x:c r="C27" s="72" t="str">
        <x:v>J10,J11,J12,J13,J14</x:v>
      </x:c>
      <x:c r="D27" s="72" t="str">
        <x:v>TerminalBlock:TerminalBlock_MaiXu_MX126-5.0-03P_1x03_P5.00mm</x:v>
      </x:c>
      <x:c r="E27" s="80" t="n">
        <x:v>5</x:v>
      </x:c>
      <x:c r="F27" s="72" t="str"/>
      <x:c r="G27" s="72" t="str">
        <x:v>MAX / MaiXu</x:v>
      </x:c>
      <x:c r="H27" s="72" t="str">
        <x:v>MX126-5.0-03P-GN01-Cu-S-A</x:v>
      </x:c>
      <x:c r="I27" s="72" t="str">
        <x:v>C5188435</x:v>
      </x:c>
      <x:c r="J27" s="72" t="str">
        <x:v>3-pos THT, 5.00 mm</x:v>
      </x:c>
      <x:c r="K27" s="72" t="str">
        <x:v>10 A, 300 V, 14-26 AWG</x:v>
      </x:c>
      <x:c r="L27" s="80" t="str">
        <x:v>VERIFY</x:v>
      </x:c>
      <x:c r="M27" s="72" t="str">
        <x:v>Drop-in if exact custom footprint</x:v>
      </x:c>
      <x:c r="N27" s="72" t="str">
        <x:v>Primary matches the named MaiXu footprint. Verify creepage, wire gauge, current, and terminal orientation for 52 VDC contacts.</x:v>
      </x:c>
      <x:c r="O27" s="72" t="str">
        <x:v>https://jlcpcb.com/partdetail/MAX-MX126_5_003P_GN01_Cu_S_A/C5188435</x:v>
      </x:c>
      <x:c r="P27" s="72" t="str"/>
    </x:row>
    <x:row r="28">
      <x:c r="A28" s="72" t="n">
        <x:v>27</x:v>
      </x:c>
      <x:c r="B28" s="72" t="str">
        <x:v>G2RL-1-E</x:v>
      </x:c>
      <x:c r="C28" s="72" t="str">
        <x:v>K10,K11,K12,K13,K14</x:v>
      </x:c>
      <x:c r="D28" s="72" t="str">
        <x:v>Relay_THT:Relay_SPDT_Omron_G2RL-1-E</x:v>
      </x:c>
      <x:c r="E28" s="80" t="n">
        <x:v>5</x:v>
      </x:c>
      <x:c r="F28" s="72" t="str"/>
      <x:c r="G28" s="72" t="str">
        <x:v>Omron</x:v>
      </x:c>
      <x:c r="H28" s="72" t="str">
        <x:v>G2RL-1-E-DC12</x:v>
      </x:c>
      <x:c r="I28" s="72" t="str">
        <x:v>C58243</x:v>
      </x:c>
      <x:c r="J28" s="72" t="str">
        <x:v>THT SPDT</x:v>
      </x:c>
      <x:c r="K28" s="72" t="str">
        <x:v>12 V coil; 16 A at 24 VDC resistive; 300 VDC max switching voltage</x:v>
      </x:c>
      <x:c r="L28" s="80" t="str">
        <x:v>VERIFY</x:v>
      </x:c>
      <x:c r="M28" s="72" t="str">
        <x:v>Drop-in</x:v>
      </x:c>
      <x:c r="N28" s="72" t="str">
        <x:v>The selected relay is directly rated at 16 A/24 VDC resistive and lists 300 VDC maximum switching voltage. Qualify 48-52 VDC at 2 A using the DC load curve, actual load type, required life and applicable approvals. 48-52 VDC at 2 A is not the published rated-load point; qualify against the DC load curve, load type, life, and certification.</x:v>
      </x:c>
      <x:c r="O28" s="72" t="str">
        <x:v>https://jlcpcb.com/partdetail/Omron-G2RL_1_E_DC12/C58243</x:v>
      </x:c>
      <x:c r="P28" s="72" t="str">
        <x:v>https://omronfs.omron.com/en_US/ecb/products/pdf/en-g2rl.pdf</x:v>
      </x:c>
    </x:row>
    <x:row r="29">
      <x:c r="A29" s="72" t="n">
        <x:v>28</x:v>
      </x:c>
      <x:c r="B29" s="72" t="str">
        <x:v>MH1608-121Y</x:v>
      </x:c>
      <x:c r="C29" s="72" t="str">
        <x:v>L1</x:v>
      </x:c>
      <x:c r="D29" s="72" t="str">
        <x:v>Library:IND_BOURNS_MH1608</x:v>
      </x:c>
      <x:c r="E29" s="80" t="n">
        <x:v>1</x:v>
      </x:c>
      <x:c r="F29" s="72" t="str"/>
      <x:c r="G29" s="72" t="str">
        <x:v>Bourns</x:v>
      </x:c>
      <x:c r="H29" s="72" t="str">
        <x:v>MH1608-121Y</x:v>
      </x:c>
      <x:c r="I29" s="72" t="str">
        <x:v>C2650949</x:v>
      </x:c>
      <x:c r="J29" s="72" t="str">
        <x:v>0603</x:v>
      </x:c>
      <x:c r="K29" s="72" t="str">
        <x:v>120 Ω @ 100 MHz, 2 A, ≤100 mΩ</x:v>
      </x:c>
      <x:c r="L29" s="80" t="str">
        <x:v>READY</x:v>
      </x:c>
      <x:c r="M29" s="72" t="str">
        <x:v>Drop-in</x:v>
      </x:c>
      <x:c r="N29" s="72" t="str">
        <x:v>Primary meets 120 Ω/100 MHz and 2 A class. Verify DCR/current for the rail.</x:v>
      </x:c>
      <x:c r="O29" s="72" t="str">
        <x:v>https://www.lcsc.com/product-detail/Ferrite-Beads_Bourns-MH1608-121Y_C2650949.html</x:v>
      </x:c>
      <x:c r="P29" s="72" t="str"/>
    </x:row>
    <x:row r="30">
      <x:c r="A30" s="72" t="n">
        <x:v>29</x:v>
      </x:c>
      <x:c r="B30" s="72" t="str">
        <x:v>XFL4020-152MEC</x:v>
      </x:c>
      <x:c r="C30" s="72" t="str">
        <x:v>L3</x:v>
      </x:c>
      <x:c r="D30" s="72" t="str">
        <x:v>Library:IND_XFL4020_COC-M</x:v>
      </x:c>
      <x:c r="E30" s="80" t="n">
        <x:v>1</x:v>
      </x:c>
      <x:c r="F30" s="72" t="str"/>
      <x:c r="G30" s="72" t="str">
        <x:v>Coilcraft</x:v>
      </x:c>
      <x:c r="H30" s="72" t="str">
        <x:v>XGL4020-152MEC</x:v>
      </x:c>
      <x:c r="I30" s="72" t="str"/>
      <x:c r="J30" s="72" t="str">
        <x:v>4.0 x 4.0 mm</x:v>
      </x:c>
      <x:c r="K30" s="72" t="str">
        <x:v>1.5 µH, lower DCR, high-current; official drop-in successor to XFL4020</x:v>
      </x:c>
      <x:c r="L30" s="80" t="str">
        <x:v>READY</x:v>
      </x:c>
      <x:c r="M30" s="72" t="str">
        <x:v>Drop-in / preferred upgrade</x:v>
      </x:c>
      <x:c r="N30" s="72" t="str">
        <x:v>XGL4020 is the preferred lower-loss drop-in successor; XFL remains acceptable if stocked.</x:v>
      </x:c>
      <x:c r="O30" s="72" t="str">
        <x:v>https://www.coilcraft.com/en-us/products/power/shielded-inductors/molded-inductor/xgl/xgl4020/</x:v>
      </x:c>
      <x:c r="P30" s="72" t="str">
        <x:v>XFL4020-152MEC</x:v>
      </x:c>
    </x:row>
    <x:row r="31">
      <x:c r="A31" s="72" t="n">
        <x:v>30</x:v>
      </x:c>
      <x:c r="B31" s="72" t="str">
        <x:v>2.2k</x:v>
      </x:c>
      <x:c r="C31" s="72" t="str">
        <x:v>R1,R2,R3,R4,R5</x:v>
      </x:c>
      <x:c r="D31" s="72" t="str">
        <x:v>Resistor_SMD:R_0603_1608Metric</x:v>
      </x:c>
      <x:c r="E31" s="80" t="n">
        <x:v>5</x:v>
      </x:c>
      <x:c r="F31" s="72" t="str"/>
      <x:c r="G31" s="72" t="str">
        <x:v>UniOhm/Uniohm</x:v>
      </x:c>
      <x:c r="H31" s="72" t="str">
        <x:v>0603WAF2201T5E</x:v>
      </x:c>
      <x:c r="I31" s="72" t="str"/>
      <x:c r="J31" s="72" t="str">
        <x:v>0603</x:v>
      </x:c>
      <x:c r="K31" s="72" t="str">
        <x:v>2.2 kΩ, 1%, ≥0.1 W</x:v>
      </x:c>
      <x:c r="L31" s="80" t="str">
        <x:v>READY</x:v>
      </x:c>
      <x:c r="M31" s="72" t="str">
        <x:v>Drop-in</x:v>
      </x:c>
      <x:c r="N31" s="72" t="str">
        <x:v>Commodity 1% 0603 resistor.</x:v>
      </x:c>
      <x:c r="O31" s="72" t="str">
        <x:v>https://www.lcsc.com/search?q=0603WAF2201T5E</x:v>
      </x:c>
      <x:c r="P31" s="72" t="str"/>
    </x:row>
    <x:row r="32">
      <x:c r="A32" s="72" t="n">
        <x:v>31</x:v>
      </x:c>
      <x:c r="B32" s="72" t="str">
        <x:v>12.4k 1% - Ethernet external reference</x:v>
      </x:c>
      <x:c r="C32" s="72" t="str">
        <x:v>R6</x:v>
      </x:c>
      <x:c r="D32" s="72" t="str">
        <x:v>Resistor_SMD:R_0402_1005Metric</x:v>
      </x:c>
      <x:c r="E32" s="80" t="n">
        <x:v>1</x:v>
      </x:c>
      <x:c r="F32" s="72" t="str"/>
      <x:c r="G32" s="72" t="str">
        <x:v>UniOhm/Uniohm</x:v>
      </x:c>
      <x:c r="H32" s="72" t="str">
        <x:v>0402WGF1242TCE</x:v>
      </x:c>
      <x:c r="I32" s="72" t="str"/>
      <x:c r="J32" s="72" t="str">
        <x:v>0402</x:v>
      </x:c>
      <x:c r="K32" s="72" t="str">
        <x:v>12.4 kΩ, 1%, ≥0.063 W</x:v>
      </x:c>
      <x:c r="L32" s="80" t="str">
        <x:v>READY</x:v>
      </x:c>
      <x:c r="M32" s="72" t="str">
        <x:v>Drop-in</x:v>
      </x:c>
      <x:c r="N32" s="72" t="str">
        <x:v>Use 1% or tighter for the W5500 external reference.</x:v>
      </x:c>
      <x:c r="O32" s="72" t="str">
        <x:v>https://www.lcsc.com/search?q=0402WGF1242TCE</x:v>
      </x:c>
      <x:c r="P32" s="72" t="str"/>
    </x:row>
    <x:row r="33">
      <x:c r="A33" s="72" t="n">
        <x:v>32</x:v>
      </x:c>
      <x:c r="B33" s="72" t="str">
        <x:v>33</x:v>
      </x:c>
      <x:c r="C33" s="72" t="str">
        <x:v>R7,R8,R16,R17</x:v>
      </x:c>
      <x:c r="D33" s="72" t="str">
        <x:v>Resistor_SMD:R_0603_1608Metric</x:v>
      </x:c>
      <x:c r="E33" s="80" t="n">
        <x:v>4</x:v>
      </x:c>
      <x:c r="F33" s="72" t="str"/>
      <x:c r="G33" s="72" t="str">
        <x:v>UniOhm/Uniohm</x:v>
      </x:c>
      <x:c r="H33" s="72" t="str">
        <x:v>0603WAF330JT5E</x:v>
      </x:c>
      <x:c r="I33" s="72" t="str"/>
      <x:c r="J33" s="72" t="str">
        <x:v>0603</x:v>
      </x:c>
      <x:c r="K33" s="72" t="str">
        <x:v>33 Ω, 1%, ≥0.1 W</x:v>
      </x:c>
      <x:c r="L33" s="80" t="str">
        <x:v>READY</x:v>
      </x:c>
      <x:c r="M33" s="72" t="str">
        <x:v>Drop-in</x:v>
      </x:c>
      <x:c r="N33" s="72" t="str">
        <x:v>Commodity 1% 0603 resistor.</x:v>
      </x:c>
      <x:c r="O33" s="72" t="str">
        <x:v>https://www.lcsc.com/search?q=0603WAF330JT5E</x:v>
      </x:c>
      <x:c r="P33" s="72" t="str"/>
    </x:row>
    <x:row r="34">
      <x:c r="A34" s="72" t="n">
        <x:v>33</x:v>
      </x:c>
      <x:c r="B34" s="72" t="str">
        <x:v>330</x:v>
      </x:c>
      <x:c r="C34" s="72" t="str">
        <x:v>R9,R15,R29</x:v>
      </x:c>
      <x:c r="D34" s="72" t="str">
        <x:v>Resistor_SMD:R_0603_1608Metric</x:v>
      </x:c>
      <x:c r="E34" s="80" t="n">
        <x:v>3</x:v>
      </x:c>
      <x:c r="F34" s="72" t="str"/>
      <x:c r="G34" s="72" t="str">
        <x:v>UniOhm/Uniohm</x:v>
      </x:c>
      <x:c r="H34" s="72" t="str">
        <x:v>0603WAF3300T5E</x:v>
      </x:c>
      <x:c r="I34" s="72" t="str"/>
      <x:c r="J34" s="72" t="str">
        <x:v>0603</x:v>
      </x:c>
      <x:c r="K34" s="72" t="str">
        <x:v>330 Ω, 1%, ≥0.1 W</x:v>
      </x:c>
      <x:c r="L34" s="80" t="str">
        <x:v>READY</x:v>
      </x:c>
      <x:c r="M34" s="72" t="str">
        <x:v>Drop-in</x:v>
      </x:c>
      <x:c r="N34" s="72" t="str">
        <x:v>Commodity 1% 0603 resistor.</x:v>
      </x:c>
      <x:c r="O34" s="72" t="str">
        <x:v>https://www.lcsc.com/search?q=0603WAF3300T5E</x:v>
      </x:c>
      <x:c r="P34" s="72" t="str"/>
    </x:row>
    <x:row r="35">
      <x:c r="A35" s="72" t="n">
        <x:v>34</x:v>
      </x:c>
      <x:c r="B35" s="72" t="str">
        <x:v>100k</x:v>
      </x:c>
      <x:c r="C35" s="72" t="str">
        <x:v>R10,R11,R12,R13,R14</x:v>
      </x:c>
      <x:c r="D35" s="72" t="str">
        <x:v>Resistor_SMD:R_0603_1608Metric</x:v>
      </x:c>
      <x:c r="E35" s="80" t="n">
        <x:v>5</x:v>
      </x:c>
      <x:c r="F35" s="72" t="str"/>
      <x:c r="G35" s="72" t="str">
        <x:v>UniOhm/Uniohm</x:v>
      </x:c>
      <x:c r="H35" s="72" t="str">
        <x:v>0603WAF1003T5E</x:v>
      </x:c>
      <x:c r="I35" s="72" t="str"/>
      <x:c r="J35" s="72" t="str">
        <x:v>0603</x:v>
      </x:c>
      <x:c r="K35" s="72" t="str">
        <x:v>100 kΩ, 1%, ≥0.1 W</x:v>
      </x:c>
      <x:c r="L35" s="80" t="str">
        <x:v>READY</x:v>
      </x:c>
      <x:c r="M35" s="72" t="str">
        <x:v>Drop-in</x:v>
      </x:c>
      <x:c r="N35" s="72" t="str">
        <x:v>Commodity 1% 0603 resistor.</x:v>
      </x:c>
      <x:c r="O35" s="72" t="str">
        <x:v>https://www.lcsc.com/search?q=0603WAF1003T5E</x:v>
      </x:c>
      <x:c r="P35" s="72" t="str"/>
    </x:row>
    <x:row r="36">
      <x:c r="A36" s="72" t="n">
        <x:v>35</x:v>
      </x:c>
      <x:c r="B36" s="72" t="str">
        <x:v>49.9 1%</x:v>
      </x:c>
      <x:c r="C36" s="72" t="str">
        <x:v>R18,R19,R21,R22</x:v>
      </x:c>
      <x:c r="D36" s="72" t="str">
        <x:v>Resistor_SMD:R_0201_0603Metric</x:v>
      </x:c>
      <x:c r="E36" s="80" t="n">
        <x:v>4</x:v>
      </x:c>
      <x:c r="F36" s="72" t="str"/>
      <x:c r="G36" s="72" t="str">
        <x:v>UniOhm/Uniohm</x:v>
      </x:c>
      <x:c r="H36" s="72" t="str">
        <x:v>0201WMF499JTCE</x:v>
      </x:c>
      <x:c r="I36" s="72" t="str"/>
      <x:c r="J36" s="72" t="str">
        <x:v>0201</x:v>
      </x:c>
      <x:c r="K36" s="72" t="str">
        <x:v>49.9 Ω, 1%, ≥0.05 W</x:v>
      </x:c>
      <x:c r="L36" s="80" t="str">
        <x:v>READY</x:v>
      </x:c>
      <x:c r="M36" s="72" t="str">
        <x:v>Drop-in</x:v>
      </x:c>
      <x:c r="N36" s="72" t="str">
        <x:v>Use 1% 49.9 Ω; 0201 assembly requires JLC Standard PCBA and careful DFM.</x:v>
      </x:c>
      <x:c r="O36" s="72" t="str">
        <x:v>https://www.lcsc.com/search?q=0201WMF499JTCE</x:v>
      </x:c>
      <x:c r="P36" s="72" t="str"/>
    </x:row>
    <x:row r="37">
      <x:c r="A37" s="72" t="n">
        <x:v>36</x:v>
      </x:c>
      <x:c r="B37" s="72" t="str">
        <x:v>10 1%</x:v>
      </x:c>
      <x:c r="C37" s="72" t="str">
        <x:v>R20</x:v>
      </x:c>
      <x:c r="D37" s="72" t="str">
        <x:v>Resistor_SMD:R_0201_0603Metric</x:v>
      </x:c>
      <x:c r="E37" s="80" t="n">
        <x:v>1</x:v>
      </x:c>
      <x:c r="F37" s="72" t="str"/>
      <x:c r="G37" s="72" t="str">
        <x:v>UniOhm/Uniohm</x:v>
      </x:c>
      <x:c r="H37" s="72" t="str">
        <x:v>0201WMF100JTCE</x:v>
      </x:c>
      <x:c r="I37" s="72" t="str"/>
      <x:c r="J37" s="72" t="str">
        <x:v>0201</x:v>
      </x:c>
      <x:c r="K37" s="72" t="str">
        <x:v>10 Ω, 1%, ≥0.05 W</x:v>
      </x:c>
      <x:c r="L37" s="80" t="str">
        <x:v>READY</x:v>
      </x:c>
      <x:c r="M37" s="72" t="str">
        <x:v>Drop-in</x:v>
      </x:c>
      <x:c r="N37" s="72" t="str">
        <x:v>Use 1% 10 Ω; 0201 assembly requires careful DFM.</x:v>
      </x:c>
      <x:c r="O37" s="72" t="str">
        <x:v>https://www.lcsc.com/search?q=0201WMF100JTCE</x:v>
      </x:c>
      <x:c r="P37" s="72" t="str"/>
    </x:row>
    <x:row r="38">
      <x:c r="A38" s="72" t="n">
        <x:v>37</x:v>
      </x:c>
      <x:c r="B38" s="72" t="str">
        <x:v>0</x:v>
      </x:c>
      <x:c r="C38" s="72" t="str">
        <x:v>R23</x:v>
      </x:c>
      <x:c r="D38" s="72" t="str">
        <x:v>Resistor_SMD:R_0402_1005Metric</x:v>
      </x:c>
      <x:c r="E38" s="80" t="n">
        <x:v>1</x:v>
      </x:c>
      <x:c r="F38" s="72" t="str"/>
      <x:c r="G38" s="72" t="str">
        <x:v>UniOhm/Uniohm</x:v>
      </x:c>
      <x:c r="H38" s="72" t="str">
        <x:v>0402WGJ0000TCE</x:v>
      </x:c>
      <x:c r="I38" s="72" t="str"/>
      <x:c r="J38" s="72" t="str">
        <x:v>0402</x:v>
      </x:c>
      <x:c r="K38" s="72" t="str">
        <x:v>0 Ω jumper, ≥0.063 W</x:v>
      </x:c>
      <x:c r="L38" s="80" t="str">
        <x:v>READY</x:v>
      </x:c>
      <x:c r="M38" s="72" t="str">
        <x:v>Drop-in</x:v>
      </x:c>
      <x:c r="N38" s="72" t="str">
        <x:v>Commodity 0 Ω jumper.</x:v>
      </x:c>
      <x:c r="O38" s="72" t="str">
        <x:v>https://www.lcsc.com/search?q=0402WGJ0000TCE</x:v>
      </x:c>
      <x:c r="P38" s="72" t="str"/>
    </x:row>
    <x:row r="39">
      <x:c r="A39" s="72" t="n">
        <x:v>38</x:v>
      </x:c>
      <x:c r="B39" s="72" t="str">
        <x:v>1M</x:v>
      </x:c>
      <x:c r="C39" s="72" t="str">
        <x:v>R24</x:v>
      </x:c>
      <x:c r="D39" s="72" t="str">
        <x:v>Resistor_SMD:R_0402_1005Metric</x:v>
      </x:c>
      <x:c r="E39" s="80" t="n">
        <x:v>1</x:v>
      </x:c>
      <x:c r="F39" s="72" t="str"/>
      <x:c r="G39" s="72" t="str">
        <x:v>UniOhm/Uniohm</x:v>
      </x:c>
      <x:c r="H39" s="72" t="str">
        <x:v>0402WGF1004TCE</x:v>
      </x:c>
      <x:c r="I39" s="72" t="str"/>
      <x:c r="J39" s="72" t="str">
        <x:v>0402</x:v>
      </x:c>
      <x:c r="K39" s="72" t="str">
        <x:v>1 MΩ, 1%, ≥0.063 W</x:v>
      </x:c>
      <x:c r="L39" s="80" t="str">
        <x:v>READY</x:v>
      </x:c>
      <x:c r="M39" s="72" t="str">
        <x:v>Drop-in</x:v>
      </x:c>
      <x:c r="N39" s="72" t="str">
        <x:v>Commodity 1% resistor.</x:v>
      </x:c>
      <x:c r="O39" s="72" t="str">
        <x:v>https://www.lcsc.com/search?q=0402WGF1004TCE</x:v>
      </x:c>
      <x:c r="P39" s="72" t="str"/>
    </x:row>
    <x:row r="40">
      <x:c r="A40" s="72" t="n">
        <x:v>39</x:v>
      </x:c>
      <x:c r="B40" s="72" t="str">
        <x:v>10k</x:v>
      </x:c>
      <x:c r="C40" s="72" t="str">
        <x:v>R25</x:v>
      </x:c>
      <x:c r="D40" s="72" t="str">
        <x:v>Resistor_SMD:R_0603_1608Metric</x:v>
      </x:c>
      <x:c r="E40" s="80" t="n">
        <x:v>1</x:v>
      </x:c>
      <x:c r="F40" s="72" t="str"/>
      <x:c r="G40" s="72" t="str">
        <x:v>UniOhm/Uniohm</x:v>
      </x:c>
      <x:c r="H40" s="72" t="str">
        <x:v>0603WAF1002T5E</x:v>
      </x:c>
      <x:c r="I40" s="72" t="str"/>
      <x:c r="J40" s="72" t="str">
        <x:v>0603</x:v>
      </x:c>
      <x:c r="K40" s="72" t="str">
        <x:v>10 kΩ, 1%, ≥0.1 W</x:v>
      </x:c>
      <x:c r="L40" s="80" t="str">
        <x:v>READY</x:v>
      </x:c>
      <x:c r="M40" s="72" t="str">
        <x:v>Drop-in</x:v>
      </x:c>
      <x:c r="N40" s="72" t="str">
        <x:v>Commodity 1% resistor.</x:v>
      </x:c>
      <x:c r="O40" s="72" t="str">
        <x:v>https://www.lcsc.com/search?q=0603WAF1002T5E</x:v>
      </x:c>
      <x:c r="P40" s="72" t="str"/>
    </x:row>
    <x:row r="41">
      <x:c r="A41" s="72" t="n">
        <x:v>40</x:v>
      </x:c>
      <x:c r="B41" s="72" t="str">
        <x:v>10kΩ</x:v>
      </x:c>
      <x:c r="C41" s="72" t="str">
        <x:v>R26</x:v>
      </x:c>
      <x:c r="D41" s="72" t="str">
        <x:v>Resistor_SMD:R_0402_1005Metric</x:v>
      </x:c>
      <x:c r="E41" s="80" t="n">
        <x:v>1</x:v>
      </x:c>
      <x:c r="F41" s="72" t="str"/>
      <x:c r="G41" s="72" t="str">
        <x:v>UniOhm/Uniohm</x:v>
      </x:c>
      <x:c r="H41" s="72" t="str">
        <x:v>0402WGF1002TCE</x:v>
      </x:c>
      <x:c r="I41" s="72" t="str"/>
      <x:c r="J41" s="72" t="str">
        <x:v>0402</x:v>
      </x:c>
      <x:c r="K41" s="72" t="str">
        <x:v>10 kΩ, 1%, ≥0.063 W</x:v>
      </x:c>
      <x:c r="L41" s="80" t="str">
        <x:v>READY</x:v>
      </x:c>
      <x:c r="M41" s="72" t="str">
        <x:v>Drop-in</x:v>
      </x:c>
      <x:c r="N41" s="72" t="str">
        <x:v>Commodity 1% resistor.</x:v>
      </x:c>
      <x:c r="O41" s="72" t="str">
        <x:v>https://www.lcsc.com/search?q=0402WGF1002TCE</x:v>
      </x:c>
      <x:c r="P41" s="72" t="str"/>
    </x:row>
    <x:row r="42">
      <x:c r="A42" s="72" t="n">
        <x:v>41</x:v>
      </x:c>
      <x:c r="B42" s="72" t="str">
        <x:v>100kΩ</x:v>
      </x:c>
      <x:c r="C42" s="72" t="str">
        <x:v>R28</x:v>
      </x:c>
      <x:c r="D42" s="72" t="str">
        <x:v>Resistor_SMD:R_0603_1608Metric</x:v>
      </x:c>
      <x:c r="E42" s="80" t="n">
        <x:v>1</x:v>
      </x:c>
      <x:c r="F42" s="72" t="str"/>
      <x:c r="G42" s="72" t="str">
        <x:v>UniOhm/Uniohm</x:v>
      </x:c>
      <x:c r="H42" s="72" t="str">
        <x:v>0603WAF1003T5E</x:v>
      </x:c>
      <x:c r="I42" s="72" t="str"/>
      <x:c r="J42" s="72" t="str">
        <x:v>0603</x:v>
      </x:c>
      <x:c r="K42" s="72" t="str">
        <x:v>100 kΩ, 1%, ≥0.1 W</x:v>
      </x:c>
      <x:c r="L42" s="80" t="str">
        <x:v>READY</x:v>
      </x:c>
      <x:c r="M42" s="72" t="str">
        <x:v>Drop-in</x:v>
      </x:c>
      <x:c r="N42" s="72" t="str">
        <x:v>Commodity 1% resistor.</x:v>
      </x:c>
      <x:c r="O42" s="72" t="str">
        <x:v>https://www.lcsc.com/search?q=0603WAF1003T5E</x:v>
      </x:c>
      <x:c r="P42" s="72" t="str"/>
    </x:row>
    <x:row r="43">
      <x:c r="A43" s="72" t="n">
        <x:v>42</x:v>
      </x:c>
      <x:c r="B43" s="72" t="str">
        <x:v>ENABLE</x:v>
      </x:c>
      <x:c r="C43" s="72" t="str">
        <x:v>SW5</x:v>
      </x:c>
      <x:c r="D43" s="72" t="str">
        <x:v>Button_Switch_THT:SW_PUSH_6mm_H5mm</x:v>
      </x:c>
      <x:c r="E43" s="80" t="n">
        <x:v>1</x:v>
      </x:c>
      <x:c r="F43" s="72" t="str"/>
      <x:c r="G43" s="72" t="str">
        <x:v>Omron</x:v>
      </x:c>
      <x:c r="H43" s="72" t="str">
        <x:v>B3F-1000</x:v>
      </x:c>
      <x:c r="I43" s="72" t="str"/>
      <x:c r="J43" s="72" t="str">
        <x:v>6 x 6 mm THT tactile</x:v>
      </x:c>
      <x:c r="K43" s="72" t="str">
        <x:v>Momentary NO, 4.3 mm body height</x:v>
      </x:c>
      <x:c r="L43" s="80" t="str">
        <x:v>BLOCKER</x:v>
      </x:c>
      <x:c r="M43" s="72" t="str">
        <x:v>Matches common SW_PUSH_6mm footprint; verify height</x:v>
      </x:c>
      <x:c r="N43" s="72" t="str">
        <x:v>PTS815 is a 4.2 x 3.2 mm SMT switch; the PCB footprint is a 6 x 6 mm THT switch. Primary below matches the current footprint.</x:v>
      </x:c>
      <x:c r="O43" s="72" t="str">
        <x:v>https://www.digikey.com/en/products/result?keywords=B3F-1000</x:v>
      </x:c>
      <x:c r="P43" s="72" t="str">
        <x:v>PTS815 SJM 250 SMTR LFS</x:v>
      </x:c>
    </x:row>
    <x:row r="44">
      <x:c r="A44" s="72" t="n">
        <x:v>43</x:v>
      </x:c>
      <x:c r="B44" s="72" t="str">
        <x:v>RESET</x:v>
      </x:c>
      <x:c r="C44" s="72" t="str">
        <x:v>SW6</x:v>
      </x:c>
      <x:c r="D44" s="72" t="str">
        <x:v>Button_Switch_THT:SW_PUSH_6mm_H5mm</x:v>
      </x:c>
      <x:c r="E44" s="80" t="n">
        <x:v>1</x:v>
      </x:c>
      <x:c r="F44" s="72" t="str"/>
      <x:c r="G44" s="72" t="str">
        <x:v>Omron</x:v>
      </x:c>
      <x:c r="H44" s="72" t="str">
        <x:v>B3F-1000</x:v>
      </x:c>
      <x:c r="I44" s="72" t="str"/>
      <x:c r="J44" s="72" t="str">
        <x:v>6 x 6 mm THT tactile</x:v>
      </x:c>
      <x:c r="K44" s="72" t="str">
        <x:v>Momentary NO, 4.3 mm body height</x:v>
      </x:c>
      <x:c r="L44" s="80" t="str">
        <x:v>BLOCKER</x:v>
      </x:c>
      <x:c r="M44" s="72" t="str">
        <x:v>Matches common SW_PUSH_6mm footprint; verify height</x:v>
      </x:c>
      <x:c r="N44" s="72" t="str">
        <x:v>PTS815 is a 4.2 x 3.2 mm SMT switch; the PCB footprint is a 6 x 6 mm THT switch. Primary below matches the current footprint.</x:v>
      </x:c>
      <x:c r="O44" s="72" t="str">
        <x:v>https://www.digikey.com/en/products/result?keywords=B3F-1000</x:v>
      </x:c>
      <x:c r="P44" s="72" t="str">
        <x:v>PTS815 SJM 250 SMTR LFS</x:v>
      </x:c>
    </x:row>
    <x:row r="45">
      <x:c r="A45" s="72" t="n">
        <x:v>44</x:v>
      </x:c>
      <x:c r="B45" s="72" t="str">
        <x:v>ESP32-WROOM-32UE</x:v>
      </x:c>
      <x:c r="C45" s="72" t="str">
        <x:v>U1</x:v>
      </x:c>
      <x:c r="D45" s="72" t="str">
        <x:v>RF_Module:ESP32-WROOM-32UE</x:v>
      </x:c>
      <x:c r="E45" s="80" t="n">
        <x:v>1</x:v>
      </x:c>
      <x:c r="F45" s="72" t="str"/>
      <x:c r="G45" s="72" t="str">
        <x:v>Espressif</x:v>
      </x:c>
      <x:c r="H45" s="72" t="str">
        <x:v>ESP32-WROOM-32UE-N8</x:v>
      </x:c>
      <x:c r="I45" s="72" t="str">
        <x:v>C701345</x:v>
      </x:c>
      <x:c r="J45" s="72" t="str">
        <x:v>ESP32-WROOM-32UE module</x:v>
      </x:c>
      <x:c r="K45" s="72" t="str">
        <x:v>8 MB flash, external antenna connector</x:v>
      </x:c>
      <x:c r="L45" s="80" t="str">
        <x:v>READY</x:v>
      </x:c>
      <x:c r="M45" s="72" t="str">
        <x:v>Drop-in</x:v>
      </x:c>
      <x:c r="N45" s="72" t="str">
        <x:v>N8 is a practical default. N4 is cheaper; N16 gives more OTA/filesystem margin.</x:v>
      </x:c>
      <x:c r="O45" s="72" t="str">
        <x:v>https://jlcpcb.com/partdetail/EspressifSystems-ESP32_WROOM_32UE_N8/C701345</x:v>
      </x:c>
      <x:c r="P45" s="72" t="str">
        <x:v>https://www.espressif.com/sites/default/files/documentation/esp32-wroom-32e_esp32-wroom-32ue_datasheet_en.pdf</x:v>
      </x:c>
    </x:row>
    <x:row r="46">
      <x:c r="A46" s="72" t="n">
        <x:v>45</x:v>
      </x:c>
      <x:c r="B46" s="72" t="str">
        <x:v>ULN2803A</x:v>
      </x:c>
      <x:c r="C46" s="72" t="str">
        <x:v>U2</x:v>
      </x:c>
      <x:c r="D46" s="72" t="str">
        <x:v>Package_SO:SOIC-18W_7.5x11.6mm_P1.27mm</x:v>
      </x:c>
      <x:c r="E46" s="80" t="n">
        <x:v>1</x:v>
      </x:c>
      <x:c r="F46" s="72" t="str"/>
      <x:c r="G46" s="72" t="str">
        <x:v>Mixic</x:v>
      </x:c>
      <x:c r="H46" s="72" t="str">
        <x:v>ULN2803A</x:v>
      </x:c>
      <x:c r="I46" s="72" t="str">
        <x:v>C107219</x:v>
      </x:c>
      <x:c r="J46" s="72" t="str">
        <x:v>SOP-18 300 mil</x:v>
      </x:c>
      <x:c r="K46" s="72" t="str">
        <x:v>8-channel Darlington sink array, 50 V, 500 mA/channel class</x:v>
      </x:c>
      <x:c r="L46" s="80" t="str">
        <x:v>READY</x:v>
      </x:c>
      <x:c r="M46" s="72" t="str">
        <x:v>Drop-in</x:v>
      </x:c>
      <x:c r="N46" s="72" t="str">
        <x:v>Cheap second-source arrays are suitable electrically for 12 V relay coils, but qualify vendor quality if production reliability is critical.</x:v>
      </x:c>
      <x:c r="O46" s="72" t="str">
        <x:v>https://jlcpcb.com/partdetail/Mixic-ULN2803A/C107219</x:v>
      </x:c>
      <x:c r="P46" s="72" t="str">
        <x:v>http://www.ti.com/lit/ds/symlink/uln2803a.pdf</x:v>
      </x:c>
    </x:row>
    <x:row r="47">
      <x:c r="A47" s="72" t="n">
        <x:v>46</x:v>
      </x:c>
      <x:c r="B47" s="72" t="str">
        <x:v>W5500</x:v>
      </x:c>
      <x:c r="C47" s="72" t="str">
        <x:v>U3</x:v>
      </x:c>
      <x:c r="D47" s="72" t="str">
        <x:v>Package_QFP:LQFP-48_7x7mm_P0.5mm</x:v>
      </x:c>
      <x:c r="E47" s="80" t="n">
        <x:v>1</x:v>
      </x:c>
      <x:c r="F47" s="72" t="str"/>
      <x:c r="G47" s="72" t="str">
        <x:v>WIZnet</x:v>
      </x:c>
      <x:c r="H47" s="72" t="str">
        <x:v>W5500</x:v>
      </x:c>
      <x:c r="I47" s="72" t="str">
        <x:v>C32843</x:v>
      </x:c>
      <x:c r="J47" s="72" t="str">
        <x:v>LQFP-48 7x7</x:v>
      </x:c>
      <x:c r="K47" s="72" t="str">
        <x:v>Hardwired TCP/IP Ethernet controller, 3.3 V, integrated 10/100 PHY</x:v>
      </x:c>
      <x:c r="L47" s="80" t="str">
        <x:v>READY</x:v>
      </x:c>
      <x:c r="M47" s="72" t="str">
        <x:v>Drop-in</x:v>
      </x:c>
      <x:c r="N47" s="72" t="str">
        <x:v>W5500 has no true second-source pin-compatible alternate. Keep authorized-channel W5500 as the AVL; other Ethernet controllers require redesign.</x:v>
      </x:c>
      <x:c r="O47" s="72" t="str">
        <x:v>https://jlcpcb.com/partdetail/WIZnet-W5500/C32843</x:v>
      </x:c>
      <x:c r="P47" s="72" t="str">
        <x:v>https://docs.wiznet.io/img/products/w5500/W5500_ds_v110e.pdf</x:v>
      </x:c>
    </x:row>
    <x:row r="48">
      <x:c r="A48" s="72" t="n">
        <x:v>47</x:v>
      </x:c>
      <x:c r="B48" s="72" t="str">
        <x:v>3A 32V</x:v>
      </x:c>
      <x:c r="C48" s="72" t="str">
        <x:v>U4</x:v>
      </x:c>
      <x:c r="D48" s="72" t="str">
        <x:v>Fuse:Fuse_1206_3216Metric</x:v>
      </x:c>
      <x:c r="E48" s="80" t="n">
        <x:v>1</x:v>
      </x:c>
      <x:c r="F48" s="72" t="str"/>
      <x:c r="G48" s="72" t="str">
        <x:v>Bel Fuse</x:v>
      </x:c>
      <x:c r="H48" s="72" t="str">
        <x:v>0685F3000-01</x:v>
      </x:c>
      <x:c r="I48" s="72" t="str"/>
      <x:c r="J48" s="72" t="str">
        <x:v>1206</x:v>
      </x:c>
      <x:c r="K48" s="72" t="str">
        <x:v>3 A, fast-acting C1F series; verify 63 V DC rating</x:v>
      </x:c>
      <x:c r="L48" s="80" t="str">
        <x:v>VERIFY</x:v>
      </x:c>
      <x:c r="M48" s="72" t="str">
        <x:v>Drop-in</x:v>
      </x:c>
      <x:c r="N48" s="72" t="str">
        <x:v>Assumed input fuse. Verify exact Bel C1F 3 voltage/interrupt rating and whether fast-acting behavior coordinates with input surge/inrush.</x:v>
      </x:c>
      <x:c r="O48" s="72" t="str">
        <x:v>https://www.digikey.com/en/products/result?keywords=0685F3000-01</x:v>
      </x:c>
      <x:c r="P48" s="72" t="str">
        <x:v>C1F 3</x:v>
      </x:c>
    </x:row>
    <x:row r="49">
      <x:c r="A49" s="72" t="n">
        <x:v>48</x:v>
      </x:c>
      <x:c r="B49" s="72" t="str">
        <x:v>TPS630701RNMR</x:v>
      </x:c>
      <x:c r="C49" s="72" t="str">
        <x:v>U5</x:v>
      </x:c>
      <x:c r="D49" s="72" t="str">
        <x:v>Library:RNM0015A</x:v>
      </x:c>
      <x:c r="E49" s="80" t="n">
        <x:v>1</x:v>
      </x:c>
      <x:c r="F49" s="72" t="str"/>
      <x:c r="G49" s="72" t="str">
        <x:v>Texas Instruments</x:v>
      </x:c>
      <x:c r="H49" s="72" t="str">
        <x:v>TPS630701RNMR</x:v>
      </x:c>
      <x:c r="I49" s="72" t="str">
        <x:v>C2876599</x:v>
      </x:c>
      <x:c r="J49" s="72" t="str">
        <x:v>VQFN-HR-15, 3x2.5 mm</x:v>
      </x:c>
      <x:c r="K49" s="72" t="str">
        <x:v>Fixed 5 V buck-boost, 2-16 V input, 2 A output class</x:v>
      </x:c>
      <x:c r="L49" s="80" t="str">
        <x:v>READY</x:v>
      </x:c>
      <x:c r="M49" s="72" t="str">
        <x:v>Drop-in</x:v>
      </x:c>
      <x:c r="N49" s="72" t="str">
        <x:v>Exact fixed-5 V part is well stocked. Do not substitute adjustable variants without reviewing the feedback/VSEL network.</x:v>
      </x:c>
      <x:c r="O49" s="72" t="str">
        <x:v>https://jlcpcb.com/partdetail/TexasInstruments-TPS630701RNMR/C2876599</x:v>
      </x:c>
      <x:c r="P49" s="72" t="str">
        <x:v>https://www.ti.com/lit/gpn/tps63070</x:v>
      </x:c>
    </x:row>
    <x:row r="50">
      <x:c r="A50" s="72" t="n">
        <x:v>49</x:v>
      </x:c>
      <x:c r="B50" s="72" t="str">
        <x:v>TVS1800DRVR</x:v>
      </x:c>
      <x:c r="C50" s="72" t="str">
        <x:v>U7</x:v>
      </x:c>
      <x:c r="D50" s="72" t="str">
        <x:v>Library:DRV0006A_NV</x:v>
      </x:c>
      <x:c r="E50" s="80" t="n">
        <x:v>1</x:v>
      </x:c>
      <x:c r="F50" s="72" t="str"/>
      <x:c r="G50" s="72" t="str">
        <x:v>Texas Instruments</x:v>
      </x:c>
      <x:c r="H50" s="72" t="str">
        <x:v>TVS1400DRVR</x:v>
      </x:c>
      <x:c r="I50" s="72" t="str">
        <x:v>C1975229</x:v>
      </x:c>
      <x:c r="J50" s="72" t="str">
        <x:v>WSON-6 2x2</x:v>
      </x:c>
      <x:c r="K50" s="72" t="str">
        <x:v>14 V standoff flat-clamp TVS, 19.3 V max clamp at specified surge</x:v>
      </x:c>
      <x:c r="L50" s="80" t="str">
        <x:v>ENGINEERING HOLD</x:v>
      </x:c>
      <x:c r="M50" s="72" t="str">
        <x:v>Same footprint; engineering review required</x:v>
      </x:c>
      <x:c r="N50" s="72" t="str">
        <x:v>Do not release as-is. TVS1800 has 18 V standoff and roughly 24.7 V maximum clamp, while TPS63070 is specified for up to 16 V input. TVS1400 is same-footprint and better, but the full protection network still needs surge coordination and verification. Better coordinated than TVS1800 for a 12 V rail, but its worst-case clamp still exceeds the TPS63070 16 V recommended input range; verify absolute maximum, surge impedance, fuse/series resistance, and test waveform.</x:v>
      </x:c>
      <x:c r="O50" s="72" t="str">
        <x:v>https://jlcpcb.com/partdetail/TVS1400DRVR/C1975229</x:v>
      </x:c>
      <x:c r="P50" s="72" t="str">
        <x:v>https://www.ti.com/lit/gpn/tvs1800</x:v>
      </x:c>
    </x:row>
    <x:row r="51">
      <x:c r="A51" s="72" t="n">
        <x:v>50</x:v>
      </x:c>
      <x:c r="B51" s="72" t="str">
        <x:v>TLV1117LV33DCYR</x:v>
      </x:c>
      <x:c r="C51" s="72" t="str">
        <x:v>U9,U10</x:v>
      </x:c>
      <x:c r="D51" s="72" t="str">
        <x:v>Library:TLV1117-33IDCYR</x:v>
      </x:c>
      <x:c r="E51" s="80" t="n">
        <x:v>2</x:v>
      </x:c>
      <x:c r="F51" s="72" t="str"/>
      <x:c r="G51" s="72" t="str">
        <x:v>Texas Instruments</x:v>
      </x:c>
      <x:c r="H51" s="72" t="str">
        <x:v>TLV1117LV33DCYR</x:v>
      </x:c>
      <x:c r="I51" s="72" t="str">
        <x:v>C15578</x:v>
      </x:c>
      <x:c r="J51" s="72" t="str">
        <x:v>SOT-223-4</x:v>
      </x:c>
      <x:c r="K51" s="72" t="str">
        <x:v>3.3 V fixed, 1 A, VIN 2-5.5 V, ceramic stable</x:v>
      </x:c>
      <x:c r="L51" s="80" t="str">
        <x:v>READY</x:v>
      </x:c>
      <x:c r="M51" s="72" t="str">
        <x:v>Drop-in</x:v>
      </x:c>
      <x:c r="N51" s="72" t="str">
        <x:v>Exact TI part is preferred; avoid generic 1117 substitutions unless input range, dropout, stability, thermal dissipation and pinout are rechecked.</x:v>
      </x:c>
      <x:c r="O51" s="72" t="str">
        <x:v>https://www.lcsc.com/product-detail/Low-Dropout-Regulators-LDO_TI_TLV1117LV33DCYR_TLV1117LV33DCYR_C15578.html</x:v>
      </x:c>
      <x:c r="P51" s="72" t="str">
        <x:v>https://www.ti.com/lit/gpn/tlv1117lv</x:v>
      </x:c>
    </x:row>
    <x:row r="52">
      <x:c r="A52" s="73" t="n">
        <x:v>51</x:v>
      </x:c>
      <x:c r="B52" s="73" t="str">
        <x:v>ABM3C-25.000MHZ-D4Y-T</x:v>
      </x:c>
      <x:c r="C52" s="73" t="str">
        <x:v>Y2</x:v>
      </x:c>
      <x:c r="D52" s="73" t="str">
        <x:v>Library:CRYSTAL_ABM3C_ABR-M</x:v>
      </x:c>
      <x:c r="E52" s="81" t="n">
        <x:v>1</x:v>
      </x:c>
      <x:c r="F52" s="73" t="str"/>
      <x:c r="G52" s="73" t="str">
        <x:v>HCI</x:v>
      </x:c>
      <x:c r="H52" s="73" t="str">
        <x:v>XC53M4-25.000-F18NJDTL</x:v>
      </x:c>
      <x:c r="I52" s="73" t="str">
        <x:v>C2962760</x:v>
      </x:c>
      <x:c r="J52" s="73" t="str">
        <x:v>5032 4-pad</x:v>
      </x:c>
      <x:c r="K52" s="73" t="str">
        <x:v>25 MHz, 18 pF load, 50 Ω class, -40 to 85°C</x:v>
      </x:c>
      <x:c r="L52" s="81" t="str">
        <x:v>VERIFY</x:v>
      </x:c>
      <x:c r="M52" s="73" t="str">
        <x:v>Drop-in</x:v>
      </x:c>
      <x:c r="N52" s="73" t="str">
        <x:v>Use a 5032, 25 MHz, 18 pF-load part. The exact Abracon part had very low JLC stock during research; primary is a footprint/spec-compatible full-temperature option subject to order-time stock.</x:v>
      </x:c>
      <x:c r="O52" s="73" t="str">
        <x:v>https://jlcpcb.com/partdetail/HCI-XC53M4_25000_F18NJDTL/C2962760</x:v>
      </x:c>
      <x:c r="P52" s="73" t="str">
        <x:v>https://abracon.com/Resonators/ABM3C.pdf</x:v>
      </x:c>
    </x:row>
  </x:sheetData>
  <x:conditionalFormatting sqref="L2:L52">
    <x:cfRule type="expression" dxfId="0" priority="1">
      <x:formula>L2="READY"</x:formula>
    </x:cfRule>
    <x:cfRule type="expression" dxfId="1" priority="2">
      <x:formula>L2="VERIFY"</x:formula>
    </x:cfRule>
    <x:cfRule type="expression" dxfId="2" priority="3">
      <x:formula>L2="BLOCKER"</x:formula>
    </x:cfRule>
    <x:cfRule type="expression" dxfId="3" priority="4">
      <x:formula>L2="ENGINEERING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426d48649545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3" hidden="0" customWidth="1"/>
    <x:col min="4" max="4" width="18" hidden="0" customWidth="1"/>
    <x:col min="5" max="5" width="28" hidden="0" customWidth="1"/>
    <x:col min="6" max="6" width="8" hidden="0" customWidth="1"/>
    <x:col min="7" max="7" width="8" hidden="0" customWidth="1"/>
    <x:col min="8" max="8" width="18" hidden="0" customWidth="1"/>
  </x:cols>
  <x:sheetData>
    <x:row r="1" ht="32" customHeight="1">
      <x:c r="A1" s="52" t="str">
        <x:v>Comment</x:v>
      </x:c>
      <x:c r="B1" s="53" t="str">
        <x:v>Designator</x:v>
      </x:c>
      <x:c r="C1" s="53" t="str">
        <x:v>Footprint</x:v>
      </x:c>
      <x:c r="D1" s="53" t="str">
        <x:v>LCSC Part #</x:v>
      </x:c>
      <x:c r="E1" s="53" t="str">
        <x:v>Manufacturer Part #</x:v>
      </x:c>
      <x:c r="F1" s="53" t="str">
        <x:v>Qty</x:v>
      </x:c>
      <x:c r="G1" s="53" t="str">
        <x:v>DNP</x:v>
      </x:c>
      <x:c r="H1" s="54" t="str">
        <x:v>Release Status</x:v>
      </x:c>
    </x:row>
    <x:row r="2">
      <x:c r="A2" s="72" t="str">
        <x:v>10uF</x:v>
      </x:c>
      <x:c r="B2" s="72" t="str">
        <x:v>C1,C8,C26,C27</x:v>
      </x:c>
      <x:c r="C2" s="72" t="str">
        <x:v>Capacitor_SMD:C_0805_2012Metric</x:v>
      </x:c>
      <x:c r="D2" s="72" t="str">
        <x:v>C1713</x:v>
      </x:c>
      <x:c r="E2" s="72" t="str">
        <x:v>CL21A106KOQNNNE</x:v>
      </x:c>
      <x:c r="F2" s="72" t="n">
        <x:v>4</x:v>
      </x:c>
      <x:c r="G2" s="72" t="str"/>
      <x:c r="H2" s="80" t="str">
        <x:v>READY</x:v>
      </x:c>
    </x:row>
    <x:row r="3">
      <x:c r="A3" s="72" t="str">
        <x:v>10uF</x:v>
      </x:c>
      <x:c r="B3" s="72" t="str">
        <x:v>C2,C28,C29</x:v>
      </x:c>
      <x:c r="C3" s="72" t="str">
        <x:v>Capacitor_SMD:C_0603_1608Metric</x:v>
      </x:c>
      <x:c r="D3" s="72" t="str">
        <x:v>C86275</x:v>
      </x:c>
      <x:c r="E3" s="72" t="str">
        <x:v>GRM188R61C106KAALD</x:v>
      </x:c>
      <x:c r="F3" s="72" t="n">
        <x:v>3</x:v>
      </x:c>
      <x:c r="G3" s="72" t="str"/>
      <x:c r="H3" s="80" t="str">
        <x:v>VERIFY</x:v>
      </x:c>
    </x:row>
    <x:row r="4">
      <x:c r="A4" s="72" t="str">
        <x:v>0.1uF</x:v>
      </x:c>
      <x:c r="B4" s="72" t="str">
        <x:v>C3,C4</x:v>
      </x:c>
      <x:c r="C4" s="72" t="str">
        <x:v>Capacitor_SMD:C_0603_1608Metric</x:v>
      </x:c>
      <x:c r="D4" s="72" t="str">
        <x:v>C14663</x:v>
      </x:c>
      <x:c r="E4" s="72" t="str">
        <x:v>CC0603KRX7R9BB104</x:v>
      </x:c>
      <x:c r="F4" s="72" t="n">
        <x:v>2</x:v>
      </x:c>
      <x:c r="G4" s="72" t="str"/>
      <x:c r="H4" s="80" t="str">
        <x:v>READY</x:v>
      </x:c>
    </x:row>
    <x:row r="5">
      <x:c r="A5" s="72" t="str">
        <x:v>4.7uF - Eth Reference Cap</x:v>
      </x:c>
      <x:c r="B5" s="72" t="str">
        <x:v>C5</x:v>
      </x:c>
      <x:c r="C5" s="72" t="str">
        <x:v>Capacitor_SMD:C_0201_0603Metric</x:v>
      </x:c>
      <x:c r="D5" s="72" t="str"/>
      <x:c r="E5" s="72" t="str">
        <x:v>GRM033R60J475ME05D</x:v>
      </x:c>
      <x:c r="F5" s="72" t="n">
        <x:v>1</x:v>
      </x:c>
      <x:c r="G5" s="72" t="str"/>
      <x:c r="H5" s="80" t="str">
        <x:v>VERIFY</x:v>
      </x:c>
    </x:row>
    <x:row r="6">
      <x:c r="A6" s="72" t="str">
        <x:v>22nF</x:v>
      </x:c>
      <x:c r="B6" s="72" t="str">
        <x:v>C6</x:v>
      </x:c>
      <x:c r="C6" s="72" t="str">
        <x:v>Capacitor_SMD:C_0201_0603Metric</x:v>
      </x:c>
      <x:c r="D6" s="72" t="str"/>
      <x:c r="E6" s="72" t="str">
        <x:v>GRM033R71H223KA12D</x:v>
      </x:c>
      <x:c r="F6" s="72" t="n">
        <x:v>1</x:v>
      </x:c>
      <x:c r="G6" s="72" t="str"/>
      <x:c r="H6" s="80" t="str">
        <x:v>READY</x:v>
      </x:c>
    </x:row>
    <x:row r="7">
      <x:c r="A7" s="72" t="str">
        <x:v>0.1uF</x:v>
      </x:c>
      <x:c r="B7" s="72" t="str">
        <x:v>C7</x:v>
      </x:c>
      <x:c r="C7" s="72" t="str">
        <x:v>Capacitor_SMD:C_0201_0603Metric</x:v>
      </x:c>
      <x:c r="D7" s="72" t="str">
        <x:v>C307379</x:v>
      </x:c>
      <x:c r="E7" s="72" t="str">
        <x:v>CL03A104KA3NNNC</x:v>
      </x:c>
      <x:c r="F7" s="72" t="n">
        <x:v>1</x:v>
      </x:c>
      <x:c r="G7" s="72" t="str"/>
      <x:c r="H7" s="80" t="str">
        <x:v>READY</x:v>
      </x:c>
    </x:row>
    <x:row r="8">
      <x:c r="A8" s="72" t="str">
        <x:v>100uF - Electrolytic</x:v>
      </x:c>
      <x:c r="B8" s="72" t="str">
        <x:v>C9</x:v>
      </x:c>
      <x:c r="C8" s="72" t="str">
        <x:v>Capacitor_SMD:C_Elec_6.3x7.7</x:v>
      </x:c>
      <x:c r="D8" s="72" t="str"/>
      <x:c r="E8" s="72" t="str">
        <x:v>EEE-FK1E101P</x:v>
      </x:c>
      <x:c r="F8" s="72" t="n">
        <x:v>1</x:v>
      </x:c>
      <x:c r="G8" s="72" t="str"/>
      <x:c r="H8" s="80" t="str">
        <x:v>VERIFY</x:v>
      </x:c>
    </x:row>
    <x:row r="9">
      <x:c r="A9" s="72" t="str">
        <x:v>100nF - Ceramic</x:v>
      </x:c>
      <x:c r="B9" s="72" t="str">
        <x:v>C10</x:v>
      </x:c>
      <x:c r="C9" s="72" t="str">
        <x:v>Capacitor_SMD:C_0603_1608Metric</x:v>
      </x:c>
      <x:c r="D9" s="72" t="str">
        <x:v>C14663</x:v>
      </x:c>
      <x:c r="E9" s="72" t="str">
        <x:v>CC0603KRX7R9BB104</x:v>
      </x:c>
      <x:c r="F9" s="72" t="n">
        <x:v>1</x:v>
      </x:c>
      <x:c r="G9" s="72" t="str"/>
      <x:c r="H9" s="80" t="str">
        <x:v>READY</x:v>
      </x:c>
    </x:row>
    <x:row r="10">
      <x:c r="A10" s="72" t="str">
        <x:v>0.1uF</x:v>
      </x:c>
      <x:c r="B10" s="72" t="str">
        <x:v>C11,C12,C13,C14,C15,C16</x:v>
      </x:c>
      <x:c r="C10" s="72" t="str">
        <x:v>Capacitor_SMD:C_0402_1005Metric</x:v>
      </x:c>
      <x:c r="D10" s="72" t="str">
        <x:v>C1525</x:v>
      </x:c>
      <x:c r="E10" s="72" t="str">
        <x:v>CL05B104KO5NNNC</x:v>
      </x:c>
      <x:c r="F10" s="72" t="n">
        <x:v>6</x:v>
      </x:c>
      <x:c r="G10" s="72" t="str"/>
      <x:c r="H10" s="80" t="str">
        <x:v>READY</x:v>
      </x:c>
    </x:row>
    <x:row r="11">
      <x:c r="A11" s="72" t="str">
        <x:v>6.8nF</x:v>
      </x:c>
      <x:c r="B11" s="72" t="str">
        <x:v>C17,C19</x:v>
      </x:c>
      <x:c r="C11" s="72" t="str">
        <x:v>Capacitor_SMD:C_0201_0603Metric</x:v>
      </x:c>
      <x:c r="D11" s="72" t="str"/>
      <x:c r="E11" s="72" t="str">
        <x:v>GRM033R71H682KA12D</x:v>
      </x:c>
      <x:c r="F11" s="72" t="n">
        <x:v>2</x:v>
      </x:c>
      <x:c r="G11" s="72" t="str"/>
      <x:c r="H11" s="80" t="str">
        <x:v>READY</x:v>
      </x:c>
    </x:row>
    <x:row r="12">
      <x:c r="A12" s="72" t="str">
        <x:v>10uF / 16V</x:v>
      </x:c>
      <x:c r="B12" s="72" t="str">
        <x:v>C18</x:v>
      </x:c>
      <x:c r="C12" s="72" t="str">
        <x:v>Capacitor_SMD:C_0805_2012Metric</x:v>
      </x:c>
      <x:c r="D12" s="72" t="str"/>
      <x:c r="E12" s="72" t="str">
        <x:v>CL21A106KOQNNNE</x:v>
      </x:c>
      <x:c r="F12" s="72" t="n">
        <x:v>1</x:v>
      </x:c>
      <x:c r="G12" s="72" t="str"/>
      <x:c r="H12" s="80" t="str">
        <x:v>READY</x:v>
      </x:c>
    </x:row>
    <x:row r="13">
      <x:c r="A13" s="72" t="str">
        <x:v>10nF</x:v>
      </x:c>
      <x:c r="B13" s="72" t="str">
        <x:v>C20,C23</x:v>
      </x:c>
      <x:c r="C13" s="72" t="str">
        <x:v>Capacitor_SMD:C_0201_0603Metric</x:v>
      </x:c>
      <x:c r="D13" s="72" t="str"/>
      <x:c r="E13" s="72" t="str">
        <x:v>GRM033R71H103KA12D</x:v>
      </x:c>
      <x:c r="F13" s="72" t="n">
        <x:v>2</x:v>
      </x:c>
      <x:c r="G13" s="72" t="str"/>
      <x:c r="H13" s="80" t="str">
        <x:v>READY</x:v>
      </x:c>
    </x:row>
    <x:row r="14">
      <x:c r="A14" s="72" t="str">
        <x:v>18pF</x:v>
      </x:c>
      <x:c r="B14" s="72" t="str">
        <x:v>C21,C22</x:v>
      </x:c>
      <x:c r="C14" s="72" t="str">
        <x:v>Capacitor_SMD:C_0201_0603Metric</x:v>
      </x:c>
      <x:c r="D14" s="72" t="str"/>
      <x:c r="E14" s="72" t="str">
        <x:v>GRM0335C1H180JA01D</x:v>
      </x:c>
      <x:c r="F14" s="72" t="n">
        <x:v>2</x:v>
      </x:c>
      <x:c r="G14" s="72" t="str"/>
      <x:c r="H14" s="80" t="str">
        <x:v>READY</x:v>
      </x:c>
    </x:row>
    <x:row r="15">
      <x:c r="A15" s="72" t="str">
        <x:v>1uF - Ceramic</x:v>
      </x:c>
      <x:c r="B15" s="72" t="str">
        <x:v>C24</x:v>
      </x:c>
      <x:c r="C15" s="72" t="str">
        <x:v>Capacitor_SMD:C_0805_2012Metric</x:v>
      </x:c>
      <x:c r="D15" s="72" t="str">
        <x:v>C95840</x:v>
      </x:c>
      <x:c r="E15" s="72" t="str">
        <x:v>CL21A105KAFNNNE</x:v>
      </x:c>
      <x:c r="F15" s="72" t="n">
        <x:v>1</x:v>
      </x:c>
      <x:c r="G15" s="72" t="str"/>
      <x:c r="H15" s="80" t="str">
        <x:v>READY</x:v>
      </x:c>
    </x:row>
    <x:row r="16">
      <x:c r="A16" s="72" t="str">
        <x:v>100nF</x:v>
      </x:c>
      <x:c r="B16" s="72" t="str">
        <x:v>C25</x:v>
      </x:c>
      <x:c r="C16" s="72" t="str">
        <x:v>Capacitor_SMD:C_0201_0603Metric</x:v>
      </x:c>
      <x:c r="D16" s="72" t="str">
        <x:v>C307379</x:v>
      </x:c>
      <x:c r="E16" s="72" t="str">
        <x:v>CL03A104KA3NNNC</x:v>
      </x:c>
      <x:c r="F16" s="72" t="n">
        <x:v>1</x:v>
      </x:c>
      <x:c r="G16" s="72" t="str"/>
      <x:c r="H16" s="80" t="str">
        <x:v>READY</x:v>
      </x:c>
    </x:row>
    <x:row r="17">
      <x:c r="A17" s="72" t="str">
        <x:v>22uF</x:v>
      </x:c>
      <x:c r="B17" s="72" t="str">
        <x:v>C30,C31</x:v>
      </x:c>
      <x:c r="C17" s="72" t="str">
        <x:v>Capacitor_SMD:C_0805_2012Metric</x:v>
      </x:c>
      <x:c r="D17" s="72" t="str"/>
      <x:c r="E17" s="72" t="str">
        <x:v>GRM21BR61A226ME44K</x:v>
      </x:c>
      <x:c r="F17" s="72" t="n">
        <x:v>2</x:v>
      </x:c>
      <x:c r="G17" s="72" t="str"/>
      <x:c r="H17" s="80" t="str">
        <x:v>VERIFY</x:v>
      </x:c>
    </x:row>
    <x:row r="18">
      <x:c r="A18" s="72" t="str">
        <x:v>1uF</x:v>
      </x:c>
      <x:c r="B18" s="72" t="str">
        <x:v>C32,C33,C34,C35</x:v>
      </x:c>
      <x:c r="C18" s="72" t="str">
        <x:v>Capacitor_SMD:C_0805_2012Metric</x:v>
      </x:c>
      <x:c r="D18" s="72" t="str">
        <x:v>C95840</x:v>
      </x:c>
      <x:c r="E18" s="72" t="str">
        <x:v>CL21A105KAFNNNE</x:v>
      </x:c>
      <x:c r="F18" s="72" t="n">
        <x:v>4</x:v>
      </x:c>
      <x:c r="G18" s="72" t="str"/>
      <x:c r="H18" s="80" t="str">
        <x:v>READY</x:v>
      </x:c>
    </x:row>
    <x:row r="19">
      <x:c r="A19" s="72" t="str">
        <x:v>1uF</x:v>
      </x:c>
      <x:c r="B19" s="72" t="str">
        <x:v>C36,C37</x:v>
      </x:c>
      <x:c r="C19" s="72" t="str">
        <x:v>Capacitor_SMD:C_0402_1005Metric</x:v>
      </x:c>
      <x:c r="D19" s="72" t="str">
        <x:v>C29266</x:v>
      </x:c>
      <x:c r="E19" s="72" t="str">
        <x:v>CL05A105KO5NNNC</x:v>
      </x:c>
      <x:c r="F19" s="72" t="n">
        <x:v>2</x:v>
      </x:c>
      <x:c r="G19" s="72" t="str"/>
      <x:c r="H19" s="80" t="str">
        <x:v>READY</x:v>
      </x:c>
    </x:row>
    <x:row r="20">
      <x:c r="A20" s="72" t="str">
        <x:v>LED VO-PT2012SEAC</x:v>
      </x:c>
      <x:c r="B20" s="72" t="str">
        <x:v>D1,D2,D3,D4,D5</x:v>
      </x:c>
      <x:c r="C20" s="72" t="str">
        <x:v>LED_SMD:LED_0201_0603Metric</x:v>
      </x:c>
      <x:c r="D20" s="72" t="str">
        <x:v>C20617265</x:v>
      </x:c>
      <x:c r="E20" s="72" t="str">
        <x:v>LTST-FC03AD-5A</x:v>
      </x:c>
      <x:c r="F20" s="72" t="n">
        <x:v>5</x:v>
      </x:c>
      <x:c r="G20" s="72" t="str"/>
      <x:c r="H20" s="80" t="str">
        <x:v>BLOCKER</x:v>
      </x:c>
    </x:row>
    <x:row r="21">
      <x:c r="A21" s="72" t="str">
        <x:v>LED</x:v>
      </x:c>
      <x:c r="B21" s="72" t="str">
        <x:v>D6</x:v>
      </x:c>
      <x:c r="C21" s="72" t="str">
        <x:v>LED_SMD:LED_0201_0603Metric</x:v>
      </x:c>
      <x:c r="D21" s="72" t="str">
        <x:v>C20617267</x:v>
      </x:c>
      <x:c r="E21" s="72" t="str">
        <x:v>LTST-FC03ED-5A</x:v>
      </x:c>
      <x:c r="F21" s="72" t="n">
        <x:v>1</x:v>
      </x:c>
      <x:c r="G21" s="72" t="str"/>
      <x:c r="H21" s="80" t="str">
        <x:v>VERIFY</x:v>
      </x:c>
    </x:row>
    <x:row r="22">
      <x:c r="A22" s="72" t="str">
        <x:v>0685T5000</x:v>
      </x:c>
      <x:c r="B22" s="72" t="str">
        <x:v>F1,F2,F5</x:v>
      </x:c>
      <x:c r="C22" s="72" t="str">
        <x:v>Fuse:Fuse_0805_2012Metric</x:v>
      </x:c>
      <x:c r="D22" s="72" t="str"/>
      <x:c r="E22" s="72" t="str">
        <x:v>0685T5000-01</x:v>
      </x:c>
      <x:c r="F22" s="72" t="n">
        <x:v>3</x:v>
      </x:c>
      <x:c r="G22" s="72" t="str"/>
      <x:c r="H22" s="80" t="str">
        <x:v>BLOCKER</x:v>
      </x:c>
    </x:row>
    <x:row r="23">
      <x:c r="A23" s="72" t="str">
        <x:v>0685T5000-01</x:v>
      </x:c>
      <x:c r="B23" s="72" t="str">
        <x:v>F3,F4</x:v>
      </x:c>
      <x:c r="C23" s="72" t="str">
        <x:v>Fuse:Fuse_0805_2012Metric</x:v>
      </x:c>
      <x:c r="D23" s="72" t="str"/>
      <x:c r="E23" s="72" t="str">
        <x:v>0685T5000-01</x:v>
      </x:c>
      <x:c r="F23" s="72" t="n">
        <x:v>2</x:v>
      </x:c>
      <x:c r="G23" s="72" t="str"/>
      <x:c r="H23" s="80" t="str">
        <x:v>BLOCKER</x:v>
      </x:c>
    </x:row>
    <x:row r="24">
      <x:c r="A24" s="72" t="str">
        <x:v>12</x:v>
      </x:c>
      <x:c r="B24" s="72" t="str">
        <x:v>J1</x:v>
      </x:c>
      <x:c r="C24" s="72" t="str">
        <x:v>Connector_BarrelJack:BarrelJack_CUI_PJ-102AH_Horizontal</x:v>
      </x:c>
      <x:c r="D24" s="72" t="str">
        <x:v>C9900001188</x:v>
      </x:c>
      <x:c r="E24" s="72" t="str">
        <x:v>PJ-102AH</x:v>
      </x:c>
      <x:c r="F24" s="72" t="n">
        <x:v>1</x:v>
      </x:c>
      <x:c r="G24" s="72" t="str"/>
      <x:c r="H24" s="80" t="str">
        <x:v>VERIFY</x:v>
      </x:c>
    </x:row>
    <x:row r="25">
      <x:c r="A25" s="72" t="str">
        <x:v>RJ45_Hanrun_HR911105A_Horizontal</x:v>
      </x:c>
      <x:c r="B25" s="72" t="str">
        <x:v>J2</x:v>
      </x:c>
      <x:c r="C25" s="72" t="str">
        <x:v>Connector_RJ:RJ45_Hanrun_HR911105A_Horizontal</x:v>
      </x:c>
      <x:c r="D25" s="72" t="str">
        <x:v>C12074</x:v>
      </x:c>
      <x:c r="E25" s="72" t="str">
        <x:v>HR911105A</x:v>
      </x:c>
      <x:c r="F25" s="72" t="n">
        <x:v>1</x:v>
      </x:c>
      <x:c r="G25" s="72" t="str"/>
      <x:c r="H25" s="80" t="str">
        <x:v>READY</x:v>
      </x:c>
    </x:row>
    <x:row r="26">
      <x:c r="A26" s="72" t="str">
        <x:v>B4B-PH-SM4-TB</x:v>
      </x:c>
      <x:c r="B26" s="72" t="str">
        <x:v>J3</x:v>
      </x:c>
      <x:c r="C26" s="72" t="str">
        <x:v>Connector_PinHeader_2.54mm:PinHeader_1x04_P2.54mm_Vertical</x:v>
      </x:c>
      <x:c r="D26" s="72" t="str">
        <x:v>C49257</x:v>
      </x:c>
      <x:c r="E26" s="72" t="str">
        <x:v>2.54-1*4P</x:v>
      </x:c>
      <x:c r="F26" s="72" t="n">
        <x:v>1</x:v>
      </x:c>
      <x:c r="G26" s="72" t="str"/>
      <x:c r="H26" s="80" t="str">
        <x:v>BLOCKER</x:v>
      </x:c>
    </x:row>
    <x:row r="27">
      <x:c r="A27" s="72" t="str">
        <x:v>Screw_Terminal_01x03</x:v>
      </x:c>
      <x:c r="B27" s="72" t="str">
        <x:v>J10,J11,J12,J13,J14</x:v>
      </x:c>
      <x:c r="C27" s="72" t="str">
        <x:v>TerminalBlock:TerminalBlock_MaiXu_MX126-5.0-03P_1x03_P5.00mm</x:v>
      </x:c>
      <x:c r="D27" s="72" t="str">
        <x:v>C5188435</x:v>
      </x:c>
      <x:c r="E27" s="72" t="str">
        <x:v>MX126-5.0-03P-GN01-Cu-S-A</x:v>
      </x:c>
      <x:c r="F27" s="72" t="n">
        <x:v>5</x:v>
      </x:c>
      <x:c r="G27" s="72" t="str"/>
      <x:c r="H27" s="80" t="str">
        <x:v>VERIFY</x:v>
      </x:c>
    </x:row>
    <x:row r="28">
      <x:c r="A28" s="72" t="str">
        <x:v>G2RL-1-E</x:v>
      </x:c>
      <x:c r="B28" s="72" t="str">
        <x:v>K10,K11,K12,K13,K14</x:v>
      </x:c>
      <x:c r="C28" s="72" t="str">
        <x:v>Relay_THT:Relay_SPDT_Omron_G2RL-1-E</x:v>
      </x:c>
      <x:c r="D28" s="72" t="str">
        <x:v>C58243</x:v>
      </x:c>
      <x:c r="E28" s="72" t="str">
        <x:v>G2RL-1-E-DC12</x:v>
      </x:c>
      <x:c r="F28" s="72" t="n">
        <x:v>5</x:v>
      </x:c>
      <x:c r="G28" s="72" t="str"/>
      <x:c r="H28" s="80" t="str">
        <x:v>VERIFY</x:v>
      </x:c>
    </x:row>
    <x:row r="29">
      <x:c r="A29" s="72" t="str">
        <x:v>MH1608-121Y</x:v>
      </x:c>
      <x:c r="B29" s="72" t="str">
        <x:v>L1</x:v>
      </x:c>
      <x:c r="C29" s="72" t="str">
        <x:v>Library:IND_BOURNS_MH1608</x:v>
      </x:c>
      <x:c r="D29" s="72" t="str">
        <x:v>C2650949</x:v>
      </x:c>
      <x:c r="E29" s="72" t="str">
        <x:v>MH1608-121Y</x:v>
      </x:c>
      <x:c r="F29" s="72" t="n">
        <x:v>1</x:v>
      </x:c>
      <x:c r="G29" s="72" t="str"/>
      <x:c r="H29" s="80" t="str">
        <x:v>READY</x:v>
      </x:c>
    </x:row>
    <x:row r="30">
      <x:c r="A30" s="72" t="str">
        <x:v>XFL4020-152MEC</x:v>
      </x:c>
      <x:c r="B30" s="72" t="str">
        <x:v>L3</x:v>
      </x:c>
      <x:c r="C30" s="72" t="str">
        <x:v>Library:IND_XFL4020_COC-M</x:v>
      </x:c>
      <x:c r="D30" s="72" t="str"/>
      <x:c r="E30" s="72" t="str">
        <x:v>XGL4020-152MEC</x:v>
      </x:c>
      <x:c r="F30" s="72" t="n">
        <x:v>1</x:v>
      </x:c>
      <x:c r="G30" s="72" t="str"/>
      <x:c r="H30" s="80" t="str">
        <x:v>READY</x:v>
      </x:c>
    </x:row>
    <x:row r="31">
      <x:c r="A31" s="72" t="str">
        <x:v>2.2k</x:v>
      </x:c>
      <x:c r="B31" s="72" t="str">
        <x:v>R1,R2,R3,R4,R5</x:v>
      </x:c>
      <x:c r="C31" s="72" t="str">
        <x:v>Resistor_SMD:R_0603_1608Metric</x:v>
      </x:c>
      <x:c r="D31" s="72" t="str"/>
      <x:c r="E31" s="72" t="str">
        <x:v>0603WAF2201T5E</x:v>
      </x:c>
      <x:c r="F31" s="72" t="n">
        <x:v>5</x:v>
      </x:c>
      <x:c r="G31" s="72" t="str"/>
      <x:c r="H31" s="80" t="str">
        <x:v>READY</x:v>
      </x:c>
    </x:row>
    <x:row r="32">
      <x:c r="A32" s="72" t="str">
        <x:v>12.4k 1% - Ethernet external reference</x:v>
      </x:c>
      <x:c r="B32" s="72" t="str">
        <x:v>R6</x:v>
      </x:c>
      <x:c r="C32" s="72" t="str">
        <x:v>Resistor_SMD:R_0402_1005Metric</x:v>
      </x:c>
      <x:c r="D32" s="72" t="str"/>
      <x:c r="E32" s="72" t="str">
        <x:v>0402WGF1242TCE</x:v>
      </x:c>
      <x:c r="F32" s="72" t="n">
        <x:v>1</x:v>
      </x:c>
      <x:c r="G32" s="72" t="str"/>
      <x:c r="H32" s="80" t="str">
        <x:v>READY</x:v>
      </x:c>
    </x:row>
    <x:row r="33">
      <x:c r="A33" s="72" t="str">
        <x:v>33</x:v>
      </x:c>
      <x:c r="B33" s="72" t="str">
        <x:v>R7,R8,R16,R17</x:v>
      </x:c>
      <x:c r="C33" s="72" t="str">
        <x:v>Resistor_SMD:R_0603_1608Metric</x:v>
      </x:c>
      <x:c r="D33" s="72" t="str"/>
      <x:c r="E33" s="72" t="str">
        <x:v>0603WAF330JT5E</x:v>
      </x:c>
      <x:c r="F33" s="72" t="n">
        <x:v>4</x:v>
      </x:c>
      <x:c r="G33" s="72" t="str"/>
      <x:c r="H33" s="80" t="str">
        <x:v>READY</x:v>
      </x:c>
    </x:row>
    <x:row r="34">
      <x:c r="A34" s="72" t="str">
        <x:v>330</x:v>
      </x:c>
      <x:c r="B34" s="72" t="str">
        <x:v>R9,R15,R29</x:v>
      </x:c>
      <x:c r="C34" s="72" t="str">
        <x:v>Resistor_SMD:R_0603_1608Metric</x:v>
      </x:c>
      <x:c r="D34" s="72" t="str"/>
      <x:c r="E34" s="72" t="str">
        <x:v>0603WAF3300T5E</x:v>
      </x:c>
      <x:c r="F34" s="72" t="n">
        <x:v>3</x:v>
      </x:c>
      <x:c r="G34" s="72" t="str"/>
      <x:c r="H34" s="80" t="str">
        <x:v>READY</x:v>
      </x:c>
    </x:row>
    <x:row r="35">
      <x:c r="A35" s="72" t="str">
        <x:v>100k</x:v>
      </x:c>
      <x:c r="B35" s="72" t="str">
        <x:v>R10,R11,R12,R13,R14</x:v>
      </x:c>
      <x:c r="C35" s="72" t="str">
        <x:v>Resistor_SMD:R_0603_1608Metric</x:v>
      </x:c>
      <x:c r="D35" s="72" t="str"/>
      <x:c r="E35" s="72" t="str">
        <x:v>0603WAF1003T5E</x:v>
      </x:c>
      <x:c r="F35" s="72" t="n">
        <x:v>5</x:v>
      </x:c>
      <x:c r="G35" s="72" t="str"/>
      <x:c r="H35" s="80" t="str">
        <x:v>READY</x:v>
      </x:c>
    </x:row>
    <x:row r="36">
      <x:c r="A36" s="72" t="str">
        <x:v>49.9 1%</x:v>
      </x:c>
      <x:c r="B36" s="72" t="str">
        <x:v>R18,R19,R21,R22</x:v>
      </x:c>
      <x:c r="C36" s="72" t="str">
        <x:v>Resistor_SMD:R_0201_0603Metric</x:v>
      </x:c>
      <x:c r="D36" s="72" t="str"/>
      <x:c r="E36" s="72" t="str">
        <x:v>0201WMF499JTCE</x:v>
      </x:c>
      <x:c r="F36" s="72" t="n">
        <x:v>4</x:v>
      </x:c>
      <x:c r="G36" s="72" t="str"/>
      <x:c r="H36" s="80" t="str">
        <x:v>READY</x:v>
      </x:c>
    </x:row>
    <x:row r="37">
      <x:c r="A37" s="72" t="str">
        <x:v>10 1%</x:v>
      </x:c>
      <x:c r="B37" s="72" t="str">
        <x:v>R20</x:v>
      </x:c>
      <x:c r="C37" s="72" t="str">
        <x:v>Resistor_SMD:R_0201_0603Metric</x:v>
      </x:c>
      <x:c r="D37" s="72" t="str"/>
      <x:c r="E37" s="72" t="str">
        <x:v>0201WMF100JTCE</x:v>
      </x:c>
      <x:c r="F37" s="72" t="n">
        <x:v>1</x:v>
      </x:c>
      <x:c r="G37" s="72" t="str"/>
      <x:c r="H37" s="80" t="str">
        <x:v>READY</x:v>
      </x:c>
    </x:row>
    <x:row r="38">
      <x:c r="A38" s="72" t="str">
        <x:v>0</x:v>
      </x:c>
      <x:c r="B38" s="72" t="str">
        <x:v>R23</x:v>
      </x:c>
      <x:c r="C38" s="72" t="str">
        <x:v>Resistor_SMD:R_0402_1005Metric</x:v>
      </x:c>
      <x:c r="D38" s="72" t="str"/>
      <x:c r="E38" s="72" t="str">
        <x:v>0402WGJ0000TCE</x:v>
      </x:c>
      <x:c r="F38" s="72" t="n">
        <x:v>1</x:v>
      </x:c>
      <x:c r="G38" s="72" t="str"/>
      <x:c r="H38" s="80" t="str">
        <x:v>READY</x:v>
      </x:c>
    </x:row>
    <x:row r="39">
      <x:c r="A39" s="72" t="str">
        <x:v>1M</x:v>
      </x:c>
      <x:c r="B39" s="72" t="str">
        <x:v>R24</x:v>
      </x:c>
      <x:c r="C39" s="72" t="str">
        <x:v>Resistor_SMD:R_0402_1005Metric</x:v>
      </x:c>
      <x:c r="D39" s="72" t="str"/>
      <x:c r="E39" s="72" t="str">
        <x:v>0402WGF1004TCE</x:v>
      </x:c>
      <x:c r="F39" s="72" t="n">
        <x:v>1</x:v>
      </x:c>
      <x:c r="G39" s="72" t="str"/>
      <x:c r="H39" s="80" t="str">
        <x:v>READY</x:v>
      </x:c>
    </x:row>
    <x:row r="40">
      <x:c r="A40" s="72" t="str">
        <x:v>10k</x:v>
      </x:c>
      <x:c r="B40" s="72" t="str">
        <x:v>R25</x:v>
      </x:c>
      <x:c r="C40" s="72" t="str">
        <x:v>Resistor_SMD:R_0603_1608Metric</x:v>
      </x:c>
      <x:c r="D40" s="72" t="str"/>
      <x:c r="E40" s="72" t="str">
        <x:v>0603WAF1002T5E</x:v>
      </x:c>
      <x:c r="F40" s="72" t="n">
        <x:v>1</x:v>
      </x:c>
      <x:c r="G40" s="72" t="str"/>
      <x:c r="H40" s="80" t="str">
        <x:v>READY</x:v>
      </x:c>
    </x:row>
    <x:row r="41">
      <x:c r="A41" s="72" t="str">
        <x:v>10kΩ</x:v>
      </x:c>
      <x:c r="B41" s="72" t="str">
        <x:v>R26</x:v>
      </x:c>
      <x:c r="C41" s="72" t="str">
        <x:v>Resistor_SMD:R_0402_1005Metric</x:v>
      </x:c>
      <x:c r="D41" s="72" t="str"/>
      <x:c r="E41" s="72" t="str">
        <x:v>0402WGF1002TCE</x:v>
      </x:c>
      <x:c r="F41" s="72" t="n">
        <x:v>1</x:v>
      </x:c>
      <x:c r="G41" s="72" t="str"/>
      <x:c r="H41" s="80" t="str">
        <x:v>READY</x:v>
      </x:c>
    </x:row>
    <x:row r="42">
      <x:c r="A42" s="72" t="str">
        <x:v>100kΩ</x:v>
      </x:c>
      <x:c r="B42" s="72" t="str">
        <x:v>R28</x:v>
      </x:c>
      <x:c r="C42" s="72" t="str">
        <x:v>Resistor_SMD:R_0603_1608Metric</x:v>
      </x:c>
      <x:c r="D42" s="72" t="str"/>
      <x:c r="E42" s="72" t="str">
        <x:v>0603WAF1003T5E</x:v>
      </x:c>
      <x:c r="F42" s="72" t="n">
        <x:v>1</x:v>
      </x:c>
      <x:c r="G42" s="72" t="str"/>
      <x:c r="H42" s="80" t="str">
        <x:v>READY</x:v>
      </x:c>
    </x:row>
    <x:row r="43">
      <x:c r="A43" s="72" t="str">
        <x:v>ENABLE</x:v>
      </x:c>
      <x:c r="B43" s="72" t="str">
        <x:v>SW5</x:v>
      </x:c>
      <x:c r="C43" s="72" t="str">
        <x:v>Button_Switch_THT:SW_PUSH_6mm_H5mm</x:v>
      </x:c>
      <x:c r="D43" s="72" t="str"/>
      <x:c r="E43" s="72" t="str">
        <x:v>B3F-1000</x:v>
      </x:c>
      <x:c r="F43" s="72" t="n">
        <x:v>1</x:v>
      </x:c>
      <x:c r="G43" s="72" t="str"/>
      <x:c r="H43" s="80" t="str">
        <x:v>BLOCKER</x:v>
      </x:c>
    </x:row>
    <x:row r="44">
      <x:c r="A44" s="72" t="str">
        <x:v>RESET</x:v>
      </x:c>
      <x:c r="B44" s="72" t="str">
        <x:v>SW6</x:v>
      </x:c>
      <x:c r="C44" s="72" t="str">
        <x:v>Button_Switch_THT:SW_PUSH_6mm_H5mm</x:v>
      </x:c>
      <x:c r="D44" s="72" t="str"/>
      <x:c r="E44" s="72" t="str">
        <x:v>B3F-1000</x:v>
      </x:c>
      <x:c r="F44" s="72" t="n">
        <x:v>1</x:v>
      </x:c>
      <x:c r="G44" s="72" t="str"/>
      <x:c r="H44" s="80" t="str">
        <x:v>BLOCKER</x:v>
      </x:c>
    </x:row>
    <x:row r="45">
      <x:c r="A45" s="72" t="str">
        <x:v>ESP32-WROOM-32UE</x:v>
      </x:c>
      <x:c r="B45" s="72" t="str">
        <x:v>U1</x:v>
      </x:c>
      <x:c r="C45" s="72" t="str">
        <x:v>RF_Module:ESP32-WROOM-32UE</x:v>
      </x:c>
      <x:c r="D45" s="72" t="str">
        <x:v>C701345</x:v>
      </x:c>
      <x:c r="E45" s="72" t="str">
        <x:v>ESP32-WROOM-32UE-N8</x:v>
      </x:c>
      <x:c r="F45" s="72" t="n">
        <x:v>1</x:v>
      </x:c>
      <x:c r="G45" s="72" t="str"/>
      <x:c r="H45" s="80" t="str">
        <x:v>READY</x:v>
      </x:c>
    </x:row>
    <x:row r="46">
      <x:c r="A46" s="72" t="str">
        <x:v>ULN2803A</x:v>
      </x:c>
      <x:c r="B46" s="72" t="str">
        <x:v>U2</x:v>
      </x:c>
      <x:c r="C46" s="72" t="str">
        <x:v>Package_SO:SOIC-18W_7.5x11.6mm_P1.27mm</x:v>
      </x:c>
      <x:c r="D46" s="72" t="str">
        <x:v>C107219</x:v>
      </x:c>
      <x:c r="E46" s="72" t="str">
        <x:v>ULN2803A</x:v>
      </x:c>
      <x:c r="F46" s="72" t="n">
        <x:v>1</x:v>
      </x:c>
      <x:c r="G46" s="72" t="str"/>
      <x:c r="H46" s="80" t="str">
        <x:v>READY</x:v>
      </x:c>
    </x:row>
    <x:row r="47">
      <x:c r="A47" s="72" t="str">
        <x:v>W5500</x:v>
      </x:c>
      <x:c r="B47" s="72" t="str">
        <x:v>U3</x:v>
      </x:c>
      <x:c r="C47" s="72" t="str">
        <x:v>Package_QFP:LQFP-48_7x7mm_P0.5mm</x:v>
      </x:c>
      <x:c r="D47" s="72" t="str">
        <x:v>C32843</x:v>
      </x:c>
      <x:c r="E47" s="72" t="str">
        <x:v>W5500</x:v>
      </x:c>
      <x:c r="F47" s="72" t="n">
        <x:v>1</x:v>
      </x:c>
      <x:c r="G47" s="72" t="str"/>
      <x:c r="H47" s="80" t="str">
        <x:v>READY</x:v>
      </x:c>
    </x:row>
    <x:row r="48">
      <x:c r="A48" s="72" t="str">
        <x:v>3A 32V</x:v>
      </x:c>
      <x:c r="B48" s="72" t="str">
        <x:v>U4</x:v>
      </x:c>
      <x:c r="C48" s="72" t="str">
        <x:v>Fuse:Fuse_1206_3216Metric</x:v>
      </x:c>
      <x:c r="D48" s="72" t="str"/>
      <x:c r="E48" s="72" t="str">
        <x:v>0685F3000-01</x:v>
      </x:c>
      <x:c r="F48" s="72" t="n">
        <x:v>1</x:v>
      </x:c>
      <x:c r="G48" s="72" t="str"/>
      <x:c r="H48" s="80" t="str">
        <x:v>VERIFY</x:v>
      </x:c>
    </x:row>
    <x:row r="49">
      <x:c r="A49" s="72" t="str">
        <x:v>TPS630701RNMR</x:v>
      </x:c>
      <x:c r="B49" s="72" t="str">
        <x:v>U5</x:v>
      </x:c>
      <x:c r="C49" s="72" t="str">
        <x:v>Library:RNM0015A</x:v>
      </x:c>
      <x:c r="D49" s="72" t="str">
        <x:v>C2876599</x:v>
      </x:c>
      <x:c r="E49" s="72" t="str">
        <x:v>TPS630701RNMR</x:v>
      </x:c>
      <x:c r="F49" s="72" t="n">
        <x:v>1</x:v>
      </x:c>
      <x:c r="G49" s="72" t="str"/>
      <x:c r="H49" s="80" t="str">
        <x:v>READY</x:v>
      </x:c>
    </x:row>
    <x:row r="50">
      <x:c r="A50" s="72" t="str">
        <x:v>TVS1800DRVR</x:v>
      </x:c>
      <x:c r="B50" s="72" t="str">
        <x:v>U7</x:v>
      </x:c>
      <x:c r="C50" s="72" t="str">
        <x:v>Library:DRV0006A_NV</x:v>
      </x:c>
      <x:c r="D50" s="72" t="str">
        <x:v>C1975229</x:v>
      </x:c>
      <x:c r="E50" s="72" t="str">
        <x:v>TVS1400DRVR</x:v>
      </x:c>
      <x:c r="F50" s="72" t="n">
        <x:v>1</x:v>
      </x:c>
      <x:c r="G50" s="72" t="str"/>
      <x:c r="H50" s="80" t="str">
        <x:v>ENGINEERING HOLD</x:v>
      </x:c>
    </x:row>
    <x:row r="51">
      <x:c r="A51" s="72" t="str">
        <x:v>TLV1117LV33DCYR</x:v>
      </x:c>
      <x:c r="B51" s="72" t="str">
        <x:v>U9,U10</x:v>
      </x:c>
      <x:c r="C51" s="72" t="str">
        <x:v>Library:TLV1117-33IDCYR</x:v>
      </x:c>
      <x:c r="D51" s="72" t="str">
        <x:v>C15578</x:v>
      </x:c>
      <x:c r="E51" s="72" t="str">
        <x:v>TLV1117LV33DCYR</x:v>
      </x:c>
      <x:c r="F51" s="72" t="n">
        <x:v>2</x:v>
      </x:c>
      <x:c r="G51" s="72" t="str"/>
      <x:c r="H51" s="80" t="str">
        <x:v>READY</x:v>
      </x:c>
    </x:row>
    <x:row r="52">
      <x:c r="A52" s="73" t="str">
        <x:v>ABM3C-25.000MHZ-D4Y-T</x:v>
      </x:c>
      <x:c r="B52" s="73" t="str">
        <x:v>Y2</x:v>
      </x:c>
      <x:c r="C52" s="73" t="str">
        <x:v>Library:CRYSTAL_ABM3C_ABR-M</x:v>
      </x:c>
      <x:c r="D52" s="73" t="str">
        <x:v>C2962760</x:v>
      </x:c>
      <x:c r="E52" s="73" t="str">
        <x:v>XC53M4-25.000-F18NJDTL</x:v>
      </x:c>
      <x:c r="F52" s="73" t="n">
        <x:v>1</x:v>
      </x:c>
      <x:c r="G52" s="73" t="str"/>
      <x:c r="H52" s="81" t="str">
        <x:v>VERIFY</x:v>
      </x:c>
    </x:row>
  </x:sheetData>
  <x:conditionalFormatting sqref="H2:H52">
    <x:cfRule type="expression" dxfId="4" priority="1">
      <x:formula>H2="READY"</x:formula>
    </x:cfRule>
    <x:cfRule type="expression" dxfId="5" priority="2">
      <x:formula>H2="VERIFY"</x:formula>
    </x:cfRule>
    <x:cfRule type="expression" dxfId="6" priority="3">
      <x:formula>H2="BLOCKER"</x:formula>
    </x:cfRule>
    <x:cfRule type="expression" dxfId="7" priority="4">
      <x:formula>H2="ENGINEERING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b7af44189a4e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0" hidden="0" customWidth="1"/>
    <x:col min="4" max="4" width="56" hidden="0" customWidth="1"/>
    <x:col min="5" max="5" width="34" hidden="0" customWidth="1"/>
    <x:col min="6" max="6" width="30" hidden="0" customWidth="1"/>
    <x:col min="7" max="7" width="43" hidden="0" customWidth="1"/>
    <x:col min="8" max="8" width="42" hidden="0" customWidth="1"/>
  </x:cols>
  <x:sheetData>
    <x:row r="1" ht="32" customHeight="1">
      <x:c r="A1" s="52" t="str">
        <x:v>Priority</x:v>
      </x:c>
      <x:c r="B1" s="53" t="str">
        <x:v>Designator</x:v>
      </x:c>
      <x:c r="C1" s="53" t="str">
        <x:v>Status</x:v>
      </x:c>
      <x:c r="D1" s="53" t="str">
        <x:v>Issue / Note</x:v>
      </x:c>
      <x:c r="E1" s="53" t="str">
        <x:v>Required Resolution</x:v>
      </x:c>
      <x:c r="F1" s="53" t="str">
        <x:v>Selected Primary</x:v>
      </x:c>
      <x:c r="G1" s="53" t="str">
        <x:v>Footprint</x:v>
      </x:c>
      <x:c r="H1" s="54" t="str">
        <x:v>Source</x:v>
      </x:c>
    </x:row>
    <x:row r="2">
      <x:c r="A2" s="72" t="str">
        <x:v>P1</x:v>
      </x:c>
      <x:c r="B2" s="72" t="str">
        <x:v>C2,C28,C29</x:v>
      </x:c>
      <x:c r="C2" s="72" t="str">
        <x:v>VERIFY</x:v>
      </x:c>
      <x:c r="D2" s="72" t="str">
        <x:v>Package split resolved. 10 µF in 0603 is strongly DC-bias dependent; confirm effective capacitance at each actual rail voltage.</x:v>
      </x:c>
      <x:c r="E2" s="72" t="str">
        <x:v>Engineering/procurement verification before order.</x:v>
      </x:c>
      <x:c r="F2" s="72" t="str">
        <x:v>GRM188R61C106KAALD</x:v>
      </x:c>
      <x:c r="G2" s="72" t="str">
        <x:v>Capacitor_SMD:C_0603_1608Metric</x:v>
      </x:c>
      <x:c r="H2" s="72" t="str">
        <x:v>https://jlcpcb.com/partdetail/MurataElectronics-GRM188R61C106KAALD/C86275</x:v>
      </x:c>
    </x:row>
    <x:row r="3">
      <x:c r="A3" s="72" t="str">
        <x:v>P1</x:v>
      </x:c>
      <x:c r="B3" s="72" t="str">
        <x:v>C5</x:v>
      </x:c>
      <x:c r="C3" s="72" t="str">
        <x:v>VERIFY</x:v>
      </x:c>
      <x:c r="D3" s="72" t="str">
        <x:v>4.7 µF in 0201 is specialty and strongly DC-bias dependent. Confirm the W5500 reference node voltage and effective capacitance; 0402/0603 is safer if layout permits. Check effective capacitance under DC bias; 0201 assembly is less forgiving.</x:v>
      </x:c>
      <x:c r="E3" s="72" t="str">
        <x:v>Engineering/procurement verification before order.</x:v>
      </x:c>
      <x:c r="F3" s="72" t="str">
        <x:v>GRM033R60J475ME05D</x:v>
      </x:c>
      <x:c r="G3" s="72" t="str">
        <x:v>Capacitor_SMD:C_0201_0603Metric</x:v>
      </x:c>
      <x:c r="H3" s="72" t="str">
        <x:v>https://www.digikey.com/en/products/detail/murata-electronics/GRM033R60J475ME05D/16033659</x:v>
      </x:c>
    </x:row>
    <x:row r="4">
      <x:c r="A4" s="72" t="str">
        <x:v>P1</x:v>
      </x:c>
      <x:c r="B4" s="72" t="str">
        <x:v>C9</x:v>
      </x:c>
      <x:c r="C4" s="72" t="str">
        <x:v>VERIFY</x:v>
      </x:c>
      <x:c r="D4" s="72" t="str">
        <x:v>Assumed 12 V input bulk capacitor; use ≥25 V and verify ESR/ripple-current and exact 6.3 x 7.7 mm land pattern.</x:v>
      </x:c>
      <x:c r="E4" s="72" t="str">
        <x:v>Engineering/procurement verification before order.</x:v>
      </x:c>
      <x:c r="F4" s="72" t="str">
        <x:v>EEE-FK1E101P</x:v>
      </x:c>
      <x:c r="G4" s="72" t="str">
        <x:v>Capacitor_SMD:C_Elec_6.3x7.7</x:v>
      </x:c>
      <x:c r="H4" s="72" t="str">
        <x:v>https://www.digikey.com/en/products/result?keywords=EEE-FK1E101P</x:v>
      </x:c>
    </x:row>
    <x:row r="5">
      <x:c r="A5" s="72" t="str">
        <x:v>P1</x:v>
      </x:c>
      <x:c r="B5" s="72" t="str">
        <x:v>C30,C31</x:v>
      </x:c>
      <x:c r="C5" s="72" t="str">
        <x:v>VERIFY</x:v>
      </x:c>
      <x:c r="D5" s="72" t="str">
        <x:v>Primary MPN corrected to a true 22 µF 0805 part. Verify 10 V rating and effective capacitance at the actual rail voltage.</x:v>
      </x:c>
      <x:c r="E5" s="72" t="str">
        <x:v>Engineering/procurement verification before order.</x:v>
      </x:c>
      <x:c r="F5" s="72" t="str">
        <x:v>GRM21BR61A226ME44K</x:v>
      </x:c>
      <x:c r="G5" s="72" t="str">
        <x:v>Capacitor_SMD:C_0805_2012Metric</x:v>
      </x:c>
      <x:c r="H5" s="72" t="str">
        <x:v>https://www.digikey.com/en/products/detail/murata-electronics/GRM21BR61A226ME44K/26223516</x:v>
      </x:c>
    </x:row>
    <x:row r="6">
      <x:c r="A6" s="72" t="str">
        <x:v>P0</x:v>
      </x:c>
      <x:c r="B6" s="72" t="str">
        <x:v>D1,D2,D3,D4,D5</x:v>
      </x:c>
      <x:c r="C6" s="72" t="str">
        <x:v>BLOCKER</x:v>
      </x:c>
      <x:c r="D6" s="72" t="str">
        <x:v>VO-PT2012SEAC is a 2012/0805 LED and cannot fit the 0201 footprint. The candidates are actual 0201 LEDs; confirm desired color and resistor current.</x:v>
      </x:c>
      <x:c r="E6" s="72" t="str">
        <x:v>Resolve before production release.</x:v>
      </x:c>
      <x:c r="F6" s="72" t="str">
        <x:v>LTST-FC03AD-5A</x:v>
      </x:c>
      <x:c r="G6" s="72" t="str">
        <x:v>LED_SMD:LED_0201_0603Metric</x:v>
      </x:c>
      <x:c r="H6" s="72" t="str">
        <x:v>https://jlcpcb.com/partdetail/LiteOn-LTST_FC03AD5A/C20617265</x:v>
      </x:c>
    </x:row>
    <x:row r="7">
      <x:c r="A7" s="72" t="str">
        <x:v>P1</x:v>
      </x:c>
      <x:c r="B7" s="72" t="str">
        <x:v>D6</x:v>
      </x:c>
      <x:c r="C7" s="72" t="str">
        <x:v>VERIFY</x:v>
      </x:c>
      <x:c r="D7" s="72" t="str">
        <x:v>No color specified. Pick a 0201 LED color and verify polarity/Vf with the series resistor.</x:v>
      </x:c>
      <x:c r="E7" s="72" t="str">
        <x:v>Engineering/procurement verification before order.</x:v>
      </x:c>
      <x:c r="F7" s="72" t="str">
        <x:v>LTST-FC03ED-5A</x:v>
      </x:c>
      <x:c r="G7" s="72" t="str">
        <x:v>LED_SMD:LED_0201_0603Metric</x:v>
      </x:c>
      <x:c r="H7" s="72" t="str">
        <x:v>https://jlcpcb.com/partdetail/LiteOn-LTST_FC03ED5A/C20617267</x:v>
      </x:c>
    </x:row>
    <x:row r="8">
      <x:c r="A8" s="72" t="str">
        <x:v>P0</x:v>
      </x:c>
      <x:c r="B8" s="72" t="str">
        <x:v>F1,F2,F5</x:v>
      </x:c>
      <x:c r="C8" s="72" t="str">
        <x:v>BLOCKER</x:v>
      </x:c>
      <x:c r="D8" s="72" t="str">
        <x:v>Bel 0685T5000 is a 1206-family fuse, not 0805. Change footprint to 1206 and verify slow-blow behavior/interrupt rating.</x:v>
      </x:c>
      <x:c r="E8" s="72" t="str">
        <x:v>Resolve before production release.</x:v>
      </x:c>
      <x:c r="F8" s="72" t="str">
        <x:v>0685T5000-01</x:v>
      </x:c>
      <x:c r="G8" s="72" t="str">
        <x:v>Fuse:Fuse_0805_2012Metric</x:v>
      </x:c>
      <x:c r="H8" s="72" t="str">
        <x:v>https://www.digikey.com/en/products/detail/bel-fuse-inc/0685T5000-01/4967966</x:v>
      </x:c>
    </x:row>
    <x:row r="9">
      <x:c r="A9" s="72" t="str">
        <x:v>P0</x:v>
      </x:c>
      <x:c r="B9" s="72" t="str">
        <x:v>F3,F4</x:v>
      </x:c>
      <x:c r="C9" s="72" t="str">
        <x:v>BLOCKER</x:v>
      </x:c>
      <x:c r="D9" s="72" t="str">
        <x:v>0685T5000-01 is 1206, not 0805. Change footprint to 1206.</x:v>
      </x:c>
      <x:c r="E9" s="72" t="str">
        <x:v>Resolve before production release.</x:v>
      </x:c>
      <x:c r="F9" s="72" t="str">
        <x:v>0685T5000-01</x:v>
      </x:c>
      <x:c r="G9" s="72" t="str">
        <x:v>Fuse:Fuse_0805_2012Metric</x:v>
      </x:c>
      <x:c r="H9" s="72" t="str">
        <x:v>https://www.digikey.com/en/products/detail/bel-fuse-inc/0685T5000-01/4967966</x:v>
      </x:c>
    </x:row>
    <x:row r="10">
      <x:c r="A10" s="72" t="str">
        <x:v>P1</x:v>
      </x:c>
      <x:c r="B10" s="72" t="str">
        <x:v>J1</x:v>
      </x:c>
      <x:c r="C10" s="72" t="str">
        <x:v>VERIFY</x:v>
      </x:c>
      <x:c r="D10" s="72" t="str">
        <x:v>Exact jack can be sourced, but JLC availability may require pre-order/consignment. Confirm adapter plug size, polarity, current, and switched-pin use.</x:v>
      </x:c>
      <x:c r="E10" s="72" t="str">
        <x:v>Engineering/procurement verification before order.</x:v>
      </x:c>
      <x:c r="F10" s="72" t="str">
        <x:v>PJ-102AH</x:v>
      </x:c>
      <x:c r="G10" s="72" t="str">
        <x:v>Connector_BarrelJack:BarrelJack_CUI_PJ-102AH_Horizontal</x:v>
      </x:c>
      <x:c r="H10" s="72" t="str">
        <x:v>https://jlcpcb.com/partdetail/CUIDevices-PJ102AH/C9900001188</x:v>
      </x:c>
    </x:row>
    <x:row r="11">
      <x:c r="A11" s="72" t="str">
        <x:v>P0</x:v>
      </x:c>
      <x:c r="B11" s="72" t="str">
        <x:v>J3</x:v>
      </x:c>
      <x:c r="C11" s="72" t="str">
        <x:v>BLOCKER</x:v>
      </x:c>
      <x:c r="D11" s="72" t="str">
        <x:v>B4B-PH-SM4-TB is a 2.0 mm SMT JST-PH header, while the footprint is a 2.54 mm THT pin header. Primary below matches the footprint, not the stated JST part.</x:v>
      </x:c>
      <x:c r="E11" s="72" t="str">
        <x:v>Resolve before production release.</x:v>
      </x:c>
      <x:c r="F11" s="72" t="str">
        <x:v>2.54-1*4P</x:v>
      </x:c>
      <x:c r="G11" s="72" t="str">
        <x:v>Connector_PinHeader_2.54mm:PinHeader_1x04_P2.54mm_Vertical</x:v>
      </x:c>
      <x:c r="H11" s="72" t="str">
        <x:v>https://www.lcsc.com/search?q=C49257</x:v>
      </x:c>
    </x:row>
    <x:row r="12">
      <x:c r="A12" s="72" t="str">
        <x:v>P1</x:v>
      </x:c>
      <x:c r="B12" s="72" t="str">
        <x:v>J10,J11,J12,J13,J14</x:v>
      </x:c>
      <x:c r="C12" s="72" t="str">
        <x:v>VERIFY</x:v>
      </x:c>
      <x:c r="D12" s="72" t="str">
        <x:v>Primary matches the named MaiXu footprint. Verify creepage, wire gauge, current, and terminal orientation for 52 VDC contacts.</x:v>
      </x:c>
      <x:c r="E12" s="72" t="str">
        <x:v>Engineering/procurement verification before order.</x:v>
      </x:c>
      <x:c r="F12" s="72" t="str">
        <x:v>MX126-5.0-03P-GN01-Cu-S-A</x:v>
      </x:c>
      <x:c r="G12" s="72" t="str">
        <x:v>TerminalBlock:TerminalBlock_MaiXu_MX126-5.0-03P_1x03_P5.00mm</x:v>
      </x:c>
      <x:c r="H12" s="72" t="str">
        <x:v>https://jlcpcb.com/partdetail/MAX-MX126_5_003P_GN01_Cu_S_A/C5188435</x:v>
      </x:c>
    </x:row>
    <x:row r="13">
      <x:c r="A13" s="72" t="str">
        <x:v>P1</x:v>
      </x:c>
      <x:c r="B13" s="72" t="str">
        <x:v>K10,K11,K12,K13,K14</x:v>
      </x:c>
      <x:c r="C13" s="72" t="str">
        <x:v>VERIFY</x:v>
      </x:c>
      <x:c r="D13" s="72" t="str">
        <x:v>The selected relay is directly rated at 16 A/24 VDC resistive and lists 300 VDC maximum switching voltage. Qualify 48-52 VDC at 2 A using the DC load curve, actual load type, required life and applicable approvals. 48-52 VDC at 2 A is not the published rated-load point; qualify against the DC load curve, load type, life, and certification.</x:v>
      </x:c>
      <x:c r="E13" s="72" t="str">
        <x:v>Engineering/procurement verification before order.</x:v>
      </x:c>
      <x:c r="F13" s="72" t="str">
        <x:v>G2RL-1-E-DC12</x:v>
      </x:c>
      <x:c r="G13" s="72" t="str">
        <x:v>Relay_THT:Relay_SPDT_Omron_G2RL-1-E</x:v>
      </x:c>
      <x:c r="H13" s="72" t="str">
        <x:v>https://jlcpcb.com/partdetail/Omron-G2RL_1_E_DC12/C58243</x:v>
      </x:c>
    </x:row>
    <x:row r="14">
      <x:c r="A14" s="72" t="str">
        <x:v>P0</x:v>
      </x:c>
      <x:c r="B14" s="72" t="str">
        <x:v>SW5</x:v>
      </x:c>
      <x:c r="C14" s="72" t="str">
        <x:v>BLOCKER</x:v>
      </x:c>
      <x:c r="D14" s="72" t="str">
        <x:v>PTS815 is a 4.2 x 3.2 mm SMT switch; the PCB footprint is a 6 x 6 mm THT switch. Primary below matches the current footprint.</x:v>
      </x:c>
      <x:c r="E14" s="72" t="str">
        <x:v>Resolve before production release.</x:v>
      </x:c>
      <x:c r="F14" s="72" t="str">
        <x:v>B3F-1000</x:v>
      </x:c>
      <x:c r="G14" s="72" t="str">
        <x:v>Button_Switch_THT:SW_PUSH_6mm_H5mm</x:v>
      </x:c>
      <x:c r="H14" s="72" t="str">
        <x:v>https://www.digikey.com/en/products/result?keywords=B3F-1000</x:v>
      </x:c>
    </x:row>
    <x:row r="15">
      <x:c r="A15" s="72" t="str">
        <x:v>P0</x:v>
      </x:c>
      <x:c r="B15" s="72" t="str">
        <x:v>SW6</x:v>
      </x:c>
      <x:c r="C15" s="72" t="str">
        <x:v>BLOCKER</x:v>
      </x:c>
      <x:c r="D15" s="72" t="str">
        <x:v>PTS815 is a 4.2 x 3.2 mm SMT switch; the PCB footprint is a 6 x 6 mm THT switch. Primary below matches the current footprint.</x:v>
      </x:c>
      <x:c r="E15" s="72" t="str">
        <x:v>Resolve before production release.</x:v>
      </x:c>
      <x:c r="F15" s="72" t="str">
        <x:v>B3F-1000</x:v>
      </x:c>
      <x:c r="G15" s="72" t="str">
        <x:v>Button_Switch_THT:SW_PUSH_6mm_H5mm</x:v>
      </x:c>
      <x:c r="H15" s="72" t="str">
        <x:v>https://www.digikey.com/en/products/result?keywords=B3F-1000</x:v>
      </x:c>
    </x:row>
    <x:row r="16">
      <x:c r="A16" s="72" t="str">
        <x:v>P1</x:v>
      </x:c>
      <x:c r="B16" s="72" t="str">
        <x:v>U4</x:v>
      </x:c>
      <x:c r="C16" s="72" t="str">
        <x:v>VERIFY</x:v>
      </x:c>
      <x:c r="D16" s="72" t="str">
        <x:v>Assumed input fuse. Verify exact Bel C1F 3 voltage/interrupt rating and whether fast-acting behavior coordinates with input surge/inrush.</x:v>
      </x:c>
      <x:c r="E16" s="72" t="str">
        <x:v>Engineering/procurement verification before order.</x:v>
      </x:c>
      <x:c r="F16" s="72" t="str">
        <x:v>0685F3000-01</x:v>
      </x:c>
      <x:c r="G16" s="72" t="str">
        <x:v>Fuse:Fuse_1206_3216Metric</x:v>
      </x:c>
      <x:c r="H16" s="72" t="str">
        <x:v>https://www.digikey.com/en/products/result?keywords=0685F3000-01</x:v>
      </x:c>
    </x:row>
    <x:row r="17">
      <x:c r="A17" s="72" t="str">
        <x:v>P0</x:v>
      </x:c>
      <x:c r="B17" s="72" t="str">
        <x:v>U7</x:v>
      </x:c>
      <x:c r="C17" s="72" t="str">
        <x:v>ENGINEERING HOLD</x:v>
      </x:c>
      <x:c r="D17" s="72" t="str">
        <x:v>Do not release as-is. TVS1800 has 18 V standoff and roughly 24.7 V maximum clamp, while TPS63070 is specified for up to 16 V input. TVS1400 is same-footprint and better, but the full protection network still needs surge coordination and verification. Better coordinated than TVS1800 for a 12 V rail, but its worst-case clamp still exceeds the TPS63070 16 V recommended input range; verify absolute maximum, surge impedance, fuse/series resistance, and test waveform.</x:v>
      </x:c>
      <x:c r="E17" s="72" t="str">
        <x:v>Resolve before production release.</x:v>
      </x:c>
      <x:c r="F17" s="72" t="str">
        <x:v>TVS1400DRVR</x:v>
      </x:c>
      <x:c r="G17" s="72" t="str">
        <x:v>Library:DRV0006A_NV</x:v>
      </x:c>
      <x:c r="H17" s="72" t="str">
        <x:v>https://jlcpcb.com/partdetail/TVS1400DRVR/C1975229</x:v>
      </x:c>
    </x:row>
    <x:row r="18">
      <x:c r="A18" s="73" t="str">
        <x:v>P1</x:v>
      </x:c>
      <x:c r="B18" s="73" t="str">
        <x:v>Y2</x:v>
      </x:c>
      <x:c r="C18" s="73" t="str">
        <x:v>VERIFY</x:v>
      </x:c>
      <x:c r="D18" s="73" t="str">
        <x:v>Use a 5032, 25 MHz, 18 pF-load part. The exact Abracon part had very low JLC stock during research; primary is a footprint/spec-compatible full-temperature option subject to order-time stock.</x:v>
      </x:c>
      <x:c r="E18" s="73" t="str">
        <x:v>Engineering/procurement verification before order.</x:v>
      </x:c>
      <x:c r="F18" s="73" t="str">
        <x:v>XC53M4-25.000-F18NJDTL</x:v>
      </x:c>
      <x:c r="G18" s="73" t="str">
        <x:v>Library:CRYSTAL_ABM3C_ABR-M</x:v>
      </x:c>
      <x:c r="H18" s="73" t="str">
        <x:v>https://jlcpcb.com/partdetail/HCI-XC53M4_25000_F18NJDTL/C2962760</x:v>
      </x:c>
    </x:row>
  </x:sheetData>
  <x:conditionalFormatting sqref="C2:C18">
    <x:cfRule type="expression" dxfId="8" priority="1">
      <x:formula>C2="READY"</x:formula>
    </x:cfRule>
    <x:cfRule type="expression" dxfId="9" priority="2">
      <x:formula>C2="VERIFY"</x:formula>
    </x:cfRule>
    <x:cfRule type="expression" dxfId="10" priority="3">
      <x:formula>C2="BLOCKER"</x:formula>
    </x:cfRule>
    <x:cfRule type="expression" dxfId="11" priority="4">
      <x:formula>C2="ENGINEERING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971f0938264a4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50" hidden="0" customWidth="1"/>
    <x:col min="5" max="5" width="8" hidden="0" customWidth="1"/>
    <x:col min="6" max="6" width="8" hidden="0" customWidth="1"/>
  </x:cols>
  <x:sheetData>
    <x:row r="1" ht="32" customHeight="1">
      <x:c r="A1" s="52" t="str">
        <x:v>Reference</x:v>
      </x:c>
      <x:c r="B1" s="53" t="str">
        <x:v>Value</x:v>
      </x:c>
      <x:c r="C1" s="53" t="str">
        <x:v>Datasheet</x:v>
      </x:c>
      <x:c r="D1" s="53" t="str">
        <x:v>Footprint</x:v>
      </x:c>
      <x:c r="E1" s="53" t="str">
        <x:v>Qty</x:v>
      </x:c>
      <x:c r="F1" s="54" t="str">
        <x:v>DNP</x:v>
      </x:c>
    </x:row>
    <x:row r="2">
      <x:c r="A2" s="72" t="str">
        <x:v>C1,C8,C26,C27</x:v>
      </x:c>
      <x:c r="B2" s="72" t="str">
        <x:v>10uF</x:v>
      </x:c>
      <x:c r="C2" s="72" t="str">
        <x:v>CL21A106KOQNNNE</x:v>
      </x:c>
      <x:c r="D2" s="72" t="str">
        <x:v>Capacitor_SMD:C_0805_2012Metric</x:v>
      </x:c>
      <x:c r="E2" s="72" t="str">
        <x:v>4</x:v>
      </x:c>
      <x:c r="F2" s="72" t="str"/>
    </x:row>
    <x:row r="3">
      <x:c r="A3" s="72" t="str">
        <x:v>C2,C28,C29</x:v>
      </x:c>
      <x:c r="B3" s="72" t="str">
        <x:v>10uF</x:v>
      </x:c>
      <x:c r="C3" s="72" t="str">
        <x:v>CL21A106KOQNNNE</x:v>
      </x:c>
      <x:c r="D3" s="72" t="str">
        <x:v>Capacitor_SMD:C_0603_1608Metric</x:v>
      </x:c>
      <x:c r="E3" s="72" t="str">
        <x:v>3</x:v>
      </x:c>
      <x:c r="F3" s="72" t="str"/>
    </x:row>
    <x:row r="4">
      <x:c r="A4" s="72" t="str">
        <x:v>C3,C4</x:v>
      </x:c>
      <x:c r="B4" s="72" t="str">
        <x:v>0.1uF</x:v>
      </x:c>
      <x:c r="C4" s="72" t="str"/>
      <x:c r="D4" s="72" t="str">
        <x:v>Capacitor_SMD:C_0603_1608Metric</x:v>
      </x:c>
      <x:c r="E4" s="72" t="str">
        <x:v>2</x:v>
      </x:c>
      <x:c r="F4" s="72" t="str"/>
    </x:row>
    <x:row r="5">
      <x:c r="A5" s="72" t="str">
        <x:v>C5</x:v>
      </x:c>
      <x:c r="B5" s="72" t="str">
        <x:v>4.7uF - Eth Reference Cap</x:v>
      </x:c>
      <x:c r="C5" s="72" t="str"/>
      <x:c r="D5" s="72" t="str">
        <x:v>Capacitor_SMD:C_0201_0603Metric</x:v>
      </x:c>
      <x:c r="E5" s="72" t="str">
        <x:v>1</x:v>
      </x:c>
      <x:c r="F5" s="72" t="str"/>
    </x:row>
    <x:row r="6">
      <x:c r="A6" s="72" t="str">
        <x:v>C6</x:v>
      </x:c>
      <x:c r="B6" s="72" t="str">
        <x:v>22nF</x:v>
      </x:c>
      <x:c r="C6" s="72" t="str"/>
      <x:c r="D6" s="72" t="str">
        <x:v>Capacitor_SMD:C_0201_0603Metric</x:v>
      </x:c>
      <x:c r="E6" s="72" t="str">
        <x:v>1</x:v>
      </x:c>
      <x:c r="F6" s="72" t="str"/>
    </x:row>
    <x:row r="7">
      <x:c r="A7" s="72" t="str">
        <x:v>C7</x:v>
      </x:c>
      <x:c r="B7" s="72" t="str">
        <x:v>0.1uF</x:v>
      </x:c>
      <x:c r="C7" s="72" t="str"/>
      <x:c r="D7" s="72" t="str">
        <x:v>Capacitor_SMD:C_0201_0603Metric</x:v>
      </x:c>
      <x:c r="E7" s="72" t="str">
        <x:v>1</x:v>
      </x:c>
      <x:c r="F7" s="72" t="str"/>
    </x:row>
    <x:row r="8">
      <x:c r="A8" s="72" t="str">
        <x:v>C9</x:v>
      </x:c>
      <x:c r="B8" s="72" t="str">
        <x:v>100uF - Electrolytic</x:v>
      </x:c>
      <x:c r="C8" s="72" t="str"/>
      <x:c r="D8" s="72" t="str">
        <x:v>Capacitor_SMD:C_Elec_6.3x7.7</x:v>
      </x:c>
      <x:c r="E8" s="72" t="str">
        <x:v>1</x:v>
      </x:c>
      <x:c r="F8" s="72" t="str"/>
    </x:row>
    <x:row r="9">
      <x:c r="A9" s="72" t="str">
        <x:v>C10</x:v>
      </x:c>
      <x:c r="B9" s="72" t="str">
        <x:v>100nF - Ceramic</x:v>
      </x:c>
      <x:c r="C9" s="72" t="str"/>
      <x:c r="D9" s="72" t="str">
        <x:v>Capacitor_SMD:C_0603_1608Metric</x:v>
      </x:c>
      <x:c r="E9" s="72" t="str">
        <x:v>1</x:v>
      </x:c>
      <x:c r="F9" s="72" t="str"/>
    </x:row>
    <x:row r="10">
      <x:c r="A10" s="72" t="str">
        <x:v>C11,C12,C13,C14,C15,C16</x:v>
      </x:c>
      <x:c r="B10" s="72" t="str">
        <x:v>0.1uF</x:v>
      </x:c>
      <x:c r="C10" s="72" t="str"/>
      <x:c r="D10" s="72" t="str">
        <x:v>Capacitor_SMD:C_0402_1005Metric</x:v>
      </x:c>
      <x:c r="E10" s="72" t="str">
        <x:v>6</x:v>
      </x:c>
      <x:c r="F10" s="72" t="str"/>
    </x:row>
    <x:row r="11">
      <x:c r="A11" s="72" t="str">
        <x:v>C17,C19</x:v>
      </x:c>
      <x:c r="B11" s="72" t="str">
        <x:v>6.8nF</x:v>
      </x:c>
      <x:c r="C11" s="72" t="str"/>
      <x:c r="D11" s="72" t="str">
        <x:v>Capacitor_SMD:C_0201_0603Metric</x:v>
      </x:c>
      <x:c r="E11" s="72" t="str">
        <x:v>2</x:v>
      </x:c>
      <x:c r="F11" s="72" t="str"/>
    </x:row>
    <x:row r="12">
      <x:c r="A12" s="72" t="str">
        <x:v>C18</x:v>
      </x:c>
      <x:c r="B12" s="72" t="str">
        <x:v>10uF / 16V</x:v>
      </x:c>
      <x:c r="C12" s="72" t="str"/>
      <x:c r="D12" s="72" t="str">
        <x:v>Capacitor_SMD:C_0805_2012Metric</x:v>
      </x:c>
      <x:c r="E12" s="72" t="str">
        <x:v>1</x:v>
      </x:c>
      <x:c r="F12" s="72" t="str"/>
    </x:row>
    <x:row r="13">
      <x:c r="A13" s="72" t="str">
        <x:v>C20,C23</x:v>
      </x:c>
      <x:c r="B13" s="72" t="str">
        <x:v>10nF</x:v>
      </x:c>
      <x:c r="C13" s="72" t="str"/>
      <x:c r="D13" s="72" t="str">
        <x:v>Capacitor_SMD:C_0201_0603Metric</x:v>
      </x:c>
      <x:c r="E13" s="72" t="str">
        <x:v>2</x:v>
      </x:c>
      <x:c r="F13" s="72" t="str"/>
    </x:row>
    <x:row r="14">
      <x:c r="A14" s="72" t="str">
        <x:v>C21,C22</x:v>
      </x:c>
      <x:c r="B14" s="72" t="str">
        <x:v>18pF</x:v>
      </x:c>
      <x:c r="C14" s="72" t="str"/>
      <x:c r="D14" s="72" t="str">
        <x:v>Capacitor_SMD:C_0201_0603Metric</x:v>
      </x:c>
      <x:c r="E14" s="72" t="str">
        <x:v>2</x:v>
      </x:c>
      <x:c r="F14" s="72" t="str"/>
    </x:row>
    <x:row r="15">
      <x:c r="A15" s="72" t="str">
        <x:v>C24</x:v>
      </x:c>
      <x:c r="B15" s="72" t="str">
        <x:v>1uF - Ceramic</x:v>
      </x:c>
      <x:c r="C15" s="72" t="str"/>
      <x:c r="D15" s="72" t="str">
        <x:v>Capacitor_SMD:C_0805_2012Metric</x:v>
      </x:c>
      <x:c r="E15" s="72" t="str">
        <x:v>1</x:v>
      </x:c>
      <x:c r="F15" s="72" t="str"/>
    </x:row>
    <x:row r="16">
      <x:c r="A16" s="72" t="str">
        <x:v>C25</x:v>
      </x:c>
      <x:c r="B16" s="72" t="str">
        <x:v>100nF</x:v>
      </x:c>
      <x:c r="C16" s="72" t="str"/>
      <x:c r="D16" s="72" t="str">
        <x:v>Capacitor_SMD:C_0201_0603Metric</x:v>
      </x:c>
      <x:c r="E16" s="72" t="str">
        <x:v>1</x:v>
      </x:c>
      <x:c r="F16" s="72" t="str"/>
    </x:row>
    <x:row r="17">
      <x:c r="A17" s="72" t="str">
        <x:v>C30,C31</x:v>
      </x:c>
      <x:c r="B17" s="72" t="str">
        <x:v>22uF</x:v>
      </x:c>
      <x:c r="C17" s="72" t="str">
        <x:v>CL21A106KOQNNNE</x:v>
      </x:c>
      <x:c r="D17" s="72" t="str">
        <x:v>Capacitor_SMD:C_0805_2012Metric</x:v>
      </x:c>
      <x:c r="E17" s="72" t="str">
        <x:v>2</x:v>
      </x:c>
      <x:c r="F17" s="72" t="str"/>
    </x:row>
    <x:row r="18">
      <x:c r="A18" s="72" t="str">
        <x:v>C32,C33,C34,C35</x:v>
      </x:c>
      <x:c r="B18" s="72" t="str">
        <x:v>1uF</x:v>
      </x:c>
      <x:c r="C18" s="72" t="str"/>
      <x:c r="D18" s="72" t="str">
        <x:v>Capacitor_SMD:C_0805_2012Metric</x:v>
      </x:c>
      <x:c r="E18" s="72" t="str">
        <x:v>4</x:v>
      </x:c>
      <x:c r="F18" s="72" t="str"/>
    </x:row>
    <x:row r="19">
      <x:c r="A19" s="72" t="str">
        <x:v>C36,C37</x:v>
      </x:c>
      <x:c r="B19" s="72" t="str">
        <x:v>1uF</x:v>
      </x:c>
      <x:c r="C19" s="72" t="str"/>
      <x:c r="D19" s="72" t="str">
        <x:v>Capacitor_SMD:C_0402_1005Metric</x:v>
      </x:c>
      <x:c r="E19" s="72" t="str">
        <x:v>2</x:v>
      </x:c>
      <x:c r="F19" s="72" t="str"/>
    </x:row>
    <x:row r="20">
      <x:c r="A20" s="72" t="str">
        <x:v>D1,D2,D3,D4,D5</x:v>
      </x:c>
      <x:c r="B20" s="72" t="str">
        <x:v>LED VO-PT2012SEAC</x:v>
      </x:c>
      <x:c r="C20" s="72" t="str"/>
      <x:c r="D20" s="72" t="str">
        <x:v>LED_SMD:LED_0201_0603Metric</x:v>
      </x:c>
      <x:c r="E20" s="72" t="str">
        <x:v>5</x:v>
      </x:c>
      <x:c r="F20" s="72" t="str"/>
    </x:row>
    <x:row r="21">
      <x:c r="A21" s="72" t="str">
        <x:v>D6</x:v>
      </x:c>
      <x:c r="B21" s="72" t="str">
        <x:v>LED</x:v>
      </x:c>
      <x:c r="C21" s="72" t="str"/>
      <x:c r="D21" s="72" t="str">
        <x:v>LED_SMD:LED_0201_0603Metric</x:v>
      </x:c>
      <x:c r="E21" s="72" t="str">
        <x:v>1</x:v>
      </x:c>
      <x:c r="F21" s="72" t="str"/>
    </x:row>
    <x:row r="22">
      <x:c r="A22" s="72" t="str">
        <x:v>F1,F2,F5</x:v>
      </x:c>
      <x:c r="B22" s="72" t="str">
        <x:v>0685T5000</x:v>
      </x:c>
      <x:c r="C22" s="72" t="str"/>
      <x:c r="D22" s="72" t="str">
        <x:v>Fuse:Fuse_0805_2012Metric</x:v>
      </x:c>
      <x:c r="E22" s="72" t="str">
        <x:v>3</x:v>
      </x:c>
      <x:c r="F22" s="72" t="str"/>
    </x:row>
    <x:row r="23">
      <x:c r="A23" s="72" t="str">
        <x:v>F3,F4</x:v>
      </x:c>
      <x:c r="B23" s="72" t="str">
        <x:v>0685T5000-01</x:v>
      </x:c>
      <x:c r="C23" s="72" t="str"/>
      <x:c r="D23" s="72" t="str">
        <x:v>Fuse:Fuse_0805_2012Metric</x:v>
      </x:c>
      <x:c r="E23" s="72" t="str">
        <x:v>2</x:v>
      </x:c>
      <x:c r="F23" s="72" t="str"/>
    </x:row>
    <x:row r="24">
      <x:c r="A24" s="72" t="str">
        <x:v>J1</x:v>
      </x:c>
      <x:c r="B24" s="72" t="str">
        <x:v>12</x:v>
      </x:c>
      <x:c r="C24" s="72" t="str"/>
      <x:c r="D24" s="72" t="str">
        <x:v>Connector_BarrelJack:BarrelJack_CUI_PJ-102AH_Horizontal</x:v>
      </x:c>
      <x:c r="E24" s="72" t="str">
        <x:v>1</x:v>
      </x:c>
      <x:c r="F24" s="72" t="str"/>
    </x:row>
    <x:row r="25">
      <x:c r="A25" s="72" t="str">
        <x:v>J2</x:v>
      </x:c>
      <x:c r="B25" s="72" t="str">
        <x:v>RJ45_Hanrun_HR911105A_Horizontal</x:v>
      </x:c>
      <x:c r="C25" s="72" t="str">
        <x:v>https://datasheet.lcsc.com/lcsc/1811141815_HANRUN-Zhongshan-HanRun-Elec-HR911105A_C12074.pdf</x:v>
      </x:c>
      <x:c r="D25" s="72" t="str">
        <x:v>Connector_RJ:RJ45_Hanrun_HR911105A_Horizontal</x:v>
      </x:c>
      <x:c r="E25" s="72" t="str">
        <x:v>1</x:v>
      </x:c>
      <x:c r="F25" s="72" t="str"/>
    </x:row>
    <x:row r="26">
      <x:c r="A26" s="72" t="str">
        <x:v>J3</x:v>
      </x:c>
      <x:c r="B26" s="72" t="str">
        <x:v>B4B-PH-SM4-TB</x:v>
      </x:c>
      <x:c r="C26" s="72" t="str">
        <x:v>B4B-PH-SM4-TB</x:v>
      </x:c>
      <x:c r="D26" s="72" t="str">
        <x:v>Connector_PinHeader_2.54mm:PinHeader_1x04_P2.54mm_Vertical</x:v>
      </x:c>
      <x:c r="E26" s="72" t="str">
        <x:v>1</x:v>
      </x:c>
      <x:c r="F26" s="72" t="str"/>
    </x:row>
    <x:row r="27">
      <x:c r="A27" s="72" t="str">
        <x:v>J10,J11,J12,J13,J14</x:v>
      </x:c>
      <x:c r="B27" s="72" t="str">
        <x:v>Screw_Terminal_01x03</x:v>
      </x:c>
      <x:c r="C27" s="72" t="str"/>
      <x:c r="D27" s="72" t="str">
        <x:v>TerminalBlock:TerminalBlock_MaiXu_MX126-5.0-03P_1x03_P5.00mm</x:v>
      </x:c>
      <x:c r="E27" s="72" t="str">
        <x:v>5</x:v>
      </x:c>
      <x:c r="F27" s="72" t="str"/>
    </x:row>
    <x:row r="28">
      <x:c r="A28" s="72" t="str">
        <x:v>K10,K11,K12,K13,K14</x:v>
      </x:c>
      <x:c r="B28" s="72" t="str">
        <x:v>G2RL-1-E</x:v>
      </x:c>
      <x:c r="C28" s="72" t="str">
        <x:v>https://omronfs.omron.com/en_US/ecb/products/pdf/en-g2rl.pdf</x:v>
      </x:c>
      <x:c r="D28" s="72" t="str">
        <x:v>Relay_THT:Relay_SPDT_Omron_G2RL-1-E</x:v>
      </x:c>
      <x:c r="E28" s="72" t="str">
        <x:v>5</x:v>
      </x:c>
      <x:c r="F28" s="72" t="str"/>
    </x:row>
    <x:row r="29">
      <x:c r="A29" s="72" t="str">
        <x:v>L1</x:v>
      </x:c>
      <x:c r="B29" s="72" t="str">
        <x:v>MH1608-121Y</x:v>
      </x:c>
      <x:c r="C29" s="72" t="str"/>
      <x:c r="D29" s="72" t="str">
        <x:v>Library:IND_BOURNS_MH1608</x:v>
      </x:c>
      <x:c r="E29" s="72" t="str">
        <x:v>1</x:v>
      </x:c>
      <x:c r="F29" s="72" t="str"/>
    </x:row>
    <x:row r="30">
      <x:c r="A30" s="72" t="str">
        <x:v>L3</x:v>
      </x:c>
      <x:c r="B30" s="72" t="str">
        <x:v>XFL4020-152MEC</x:v>
      </x:c>
      <x:c r="C30" s="72" t="str">
        <x:v>XFL4020-152MEC</x:v>
      </x:c>
      <x:c r="D30" s="72" t="str">
        <x:v>Library:IND_XFL4020_COC-M</x:v>
      </x:c>
      <x:c r="E30" s="72" t="str">
        <x:v>1</x:v>
      </x:c>
      <x:c r="F30" s="72" t="str"/>
    </x:row>
    <x:row r="31">
      <x:c r="A31" s="72" t="str">
        <x:v>R1,R2,R3,R4,R5</x:v>
      </x:c>
      <x:c r="B31" s="72" t="str">
        <x:v>2.2k</x:v>
      </x:c>
      <x:c r="C31" s="72" t="str"/>
      <x:c r="D31" s="72" t="str">
        <x:v>Resistor_SMD:R_0603_1608Metric</x:v>
      </x:c>
      <x:c r="E31" s="72" t="str">
        <x:v>5</x:v>
      </x:c>
      <x:c r="F31" s="72" t="str"/>
    </x:row>
    <x:row r="32">
      <x:c r="A32" s="72" t="str">
        <x:v>R6</x:v>
      </x:c>
      <x:c r="B32" s="72" t="str">
        <x:v>12.4k 1% - Ethernet external reference</x:v>
      </x:c>
      <x:c r="C32" s="72" t="str"/>
      <x:c r="D32" s="72" t="str">
        <x:v>Resistor_SMD:R_0402_1005Metric</x:v>
      </x:c>
      <x:c r="E32" s="72" t="str">
        <x:v>1</x:v>
      </x:c>
      <x:c r="F32" s="72" t="str"/>
    </x:row>
    <x:row r="33">
      <x:c r="A33" s="72" t="str">
        <x:v>R7,R8,R16,R17</x:v>
      </x:c>
      <x:c r="B33" s="72" t="str">
        <x:v>33</x:v>
      </x:c>
      <x:c r="C33" s="72" t="str"/>
      <x:c r="D33" s="72" t="str">
        <x:v>Resistor_SMD:R_0603_1608Metric</x:v>
      </x:c>
      <x:c r="E33" s="72" t="str">
        <x:v>4</x:v>
      </x:c>
      <x:c r="F33" s="72" t="str"/>
    </x:row>
    <x:row r="34">
      <x:c r="A34" s="72" t="str">
        <x:v>R9,R15,R29</x:v>
      </x:c>
      <x:c r="B34" s="72" t="str">
        <x:v>330</x:v>
      </x:c>
      <x:c r="C34" s="72" t="str"/>
      <x:c r="D34" s="72" t="str">
        <x:v>Resistor_SMD:R_0603_1608Metric</x:v>
      </x:c>
      <x:c r="E34" s="72" t="str">
        <x:v>3</x:v>
      </x:c>
      <x:c r="F34" s="72" t="str"/>
    </x:row>
    <x:row r="35">
      <x:c r="A35" s="72" t="str">
        <x:v>R10,R11,R12,R13,R14</x:v>
      </x:c>
      <x:c r="B35" s="72" t="str">
        <x:v>100k</x:v>
      </x:c>
      <x:c r="C35" s="72" t="str"/>
      <x:c r="D35" s="72" t="str">
        <x:v>Resistor_SMD:R_0603_1608Metric</x:v>
      </x:c>
      <x:c r="E35" s="72" t="str">
        <x:v>5</x:v>
      </x:c>
      <x:c r="F35" s="72" t="str"/>
    </x:row>
    <x:row r="36">
      <x:c r="A36" s="72" t="str">
        <x:v>R18,R19,R21,R22</x:v>
      </x:c>
      <x:c r="B36" s="72" t="str">
        <x:v>49.9 1%</x:v>
      </x:c>
      <x:c r="C36" s="72" t="str"/>
      <x:c r="D36" s="72" t="str">
        <x:v>Resistor_SMD:R_0201_0603Metric</x:v>
      </x:c>
      <x:c r="E36" s="72" t="str">
        <x:v>4</x:v>
      </x:c>
      <x:c r="F36" s="72" t="str"/>
    </x:row>
    <x:row r="37">
      <x:c r="A37" s="72" t="str">
        <x:v>R20</x:v>
      </x:c>
      <x:c r="B37" s="72" t="str">
        <x:v>10 1%</x:v>
      </x:c>
      <x:c r="C37" s="72" t="str"/>
      <x:c r="D37" s="72" t="str">
        <x:v>Resistor_SMD:R_0201_0603Metric</x:v>
      </x:c>
      <x:c r="E37" s="72" t="str">
        <x:v>1</x:v>
      </x:c>
      <x:c r="F37" s="72" t="str"/>
    </x:row>
    <x:row r="38">
      <x:c r="A38" s="72" t="str">
        <x:v>R23</x:v>
      </x:c>
      <x:c r="B38" s="72" t="str">
        <x:v>0</x:v>
      </x:c>
      <x:c r="C38" s="72" t="str"/>
      <x:c r="D38" s="72" t="str">
        <x:v>Resistor_SMD:R_0402_1005Metric</x:v>
      </x:c>
      <x:c r="E38" s="72" t="str">
        <x:v>1</x:v>
      </x:c>
      <x:c r="F38" s="72" t="str"/>
    </x:row>
    <x:row r="39">
      <x:c r="A39" s="72" t="str">
        <x:v>R24</x:v>
      </x:c>
      <x:c r="B39" s="72" t="str">
        <x:v>1M</x:v>
      </x:c>
      <x:c r="C39" s="72" t="str"/>
      <x:c r="D39" s="72" t="str">
        <x:v>Resistor_SMD:R_0402_1005Metric</x:v>
      </x:c>
      <x:c r="E39" s="72" t="str">
        <x:v>1</x:v>
      </x:c>
      <x:c r="F39" s="72" t="str"/>
    </x:row>
    <x:row r="40">
      <x:c r="A40" s="72" t="str">
        <x:v>R25</x:v>
      </x:c>
      <x:c r="B40" s="72" t="str">
        <x:v>10k</x:v>
      </x:c>
      <x:c r="C40" s="72" t="str"/>
      <x:c r="D40" s="72" t="str">
        <x:v>Resistor_SMD:R_0603_1608Metric</x:v>
      </x:c>
      <x:c r="E40" s="72" t="str">
        <x:v>1</x:v>
      </x:c>
      <x:c r="F40" s="72" t="str"/>
    </x:row>
    <x:row r="41">
      <x:c r="A41" s="72" t="str">
        <x:v>R26</x:v>
      </x:c>
      <x:c r="B41" s="72" t="str">
        <x:v>10kΩ</x:v>
      </x:c>
      <x:c r="C41" s="72" t="str"/>
      <x:c r="D41" s="72" t="str">
        <x:v>Resistor_SMD:R_0402_1005Metric</x:v>
      </x:c>
      <x:c r="E41" s="72" t="str">
        <x:v>1</x:v>
      </x:c>
      <x:c r="F41" s="72" t="str"/>
    </x:row>
    <x:row r="42">
      <x:c r="A42" s="72" t="str">
        <x:v>R28</x:v>
      </x:c>
      <x:c r="B42" s="72" t="str">
        <x:v>100kΩ</x:v>
      </x:c>
      <x:c r="C42" s="72" t="str"/>
      <x:c r="D42" s="72" t="str">
        <x:v>Resistor_SMD:R_0603_1608Metric</x:v>
      </x:c>
      <x:c r="E42" s="72" t="str">
        <x:v>1</x:v>
      </x:c>
      <x:c r="F42" s="72" t="str"/>
    </x:row>
    <x:row r="43">
      <x:c r="A43" s="72" t="str">
        <x:v>SW5</x:v>
      </x:c>
      <x:c r="B43" s="72" t="str">
        <x:v>ENABLE</x:v>
      </x:c>
      <x:c r="C43" s="72" t="str">
        <x:v>PTS815 SJM 250 SMTR LFS</x:v>
      </x:c>
      <x:c r="D43" s="72" t="str">
        <x:v>Button_Switch_THT:SW_PUSH_6mm_H5mm</x:v>
      </x:c>
      <x:c r="E43" s="72" t="str">
        <x:v>1</x:v>
      </x:c>
      <x:c r="F43" s="72" t="str"/>
    </x:row>
    <x:row r="44">
      <x:c r="A44" s="72" t="str">
        <x:v>SW6</x:v>
      </x:c>
      <x:c r="B44" s="72" t="str">
        <x:v>RESET</x:v>
      </x:c>
      <x:c r="C44" s="72" t="str">
        <x:v>PTS815 SJM 250 SMTR LFS</x:v>
      </x:c>
      <x:c r="D44" s="72" t="str">
        <x:v>Button_Switch_THT:SW_PUSH_6mm_H5mm</x:v>
      </x:c>
      <x:c r="E44" s="72" t="str">
        <x:v>1</x:v>
      </x:c>
      <x:c r="F44" s="72" t="str"/>
    </x:row>
    <x:row r="45">
      <x:c r="A45" s="72" t="str">
        <x:v>U1</x:v>
      </x:c>
      <x:c r="B45" s="72" t="str">
        <x:v>ESP32-WROOM-32UE</x:v>
      </x:c>
      <x:c r="C45" s="72" t="str">
        <x:v>https://www.espressif.com/sites/default/files/documentation/esp32-wroom-32e_esp32-wroom-32ue_datasheet_en.pdf</x:v>
      </x:c>
      <x:c r="D45" s="72" t="str">
        <x:v>RF_Module:ESP32-WROOM-32UE</x:v>
      </x:c>
      <x:c r="E45" s="72" t="str">
        <x:v>1</x:v>
      </x:c>
      <x:c r="F45" s="72" t="str"/>
    </x:row>
    <x:row r="46">
      <x:c r="A46" s="72" t="str">
        <x:v>U2</x:v>
      </x:c>
      <x:c r="B46" s="72" t="str">
        <x:v>ULN2803A</x:v>
      </x:c>
      <x:c r="C46" s="72" t="str">
        <x:v>http://www.ti.com/lit/ds/symlink/uln2803a.pdf</x:v>
      </x:c>
      <x:c r="D46" s="72" t="str">
        <x:v>Package_SO:SOIC-18W_7.5x11.6mm_P1.27mm</x:v>
      </x:c>
      <x:c r="E46" s="72" t="str">
        <x:v>1</x:v>
      </x:c>
      <x:c r="F46" s="72" t="str"/>
    </x:row>
    <x:row r="47">
      <x:c r="A47" s="72" t="str">
        <x:v>U3</x:v>
      </x:c>
      <x:c r="B47" s="72" t="str">
        <x:v>W5500</x:v>
      </x:c>
      <x:c r="C47" s="72" t="str">
        <x:v>https://docs.wiznet.io/img/products/w5500/W5500_ds_v110e.pdf</x:v>
      </x:c>
      <x:c r="D47" s="72" t="str">
        <x:v>Package_QFP:LQFP-48_7x7mm_P0.5mm</x:v>
      </x:c>
      <x:c r="E47" s="72" t="str">
        <x:v>1</x:v>
      </x:c>
      <x:c r="F47" s="72" t="str"/>
    </x:row>
    <x:row r="48">
      <x:c r="A48" s="72" t="str">
        <x:v>U4</x:v>
      </x:c>
      <x:c r="B48" s="72" t="str">
        <x:v>3A 32V</x:v>
      </x:c>
      <x:c r="C48" s="72" t="str">
        <x:v>C1F 3</x:v>
      </x:c>
      <x:c r="D48" s="72" t="str">
        <x:v>Fuse:Fuse_1206_3216Metric</x:v>
      </x:c>
      <x:c r="E48" s="72" t="str">
        <x:v>1</x:v>
      </x:c>
      <x:c r="F48" s="72" t="str"/>
    </x:row>
    <x:row r="49">
      <x:c r="A49" s="72" t="str">
        <x:v>U5</x:v>
      </x:c>
      <x:c r="B49" s="72" t="str">
        <x:v>TPS630701RNMR</x:v>
      </x:c>
      <x:c r="C49" s="72" t="str">
        <x:v>https://www.ti.com/lit/gpn/tps63070</x:v>
      </x:c>
      <x:c r="D49" s="72" t="str">
        <x:v>Library:RNM0015A</x:v>
      </x:c>
      <x:c r="E49" s="72" t="str">
        <x:v>1</x:v>
      </x:c>
      <x:c r="F49" s="72" t="str"/>
    </x:row>
    <x:row r="50">
      <x:c r="A50" s="72" t="str">
        <x:v>U7</x:v>
      </x:c>
      <x:c r="B50" s="72" t="str">
        <x:v>TVS1800DRVR</x:v>
      </x:c>
      <x:c r="C50" s="72" t="str">
        <x:v>https://www.ti.com/lit/gpn/tvs1800</x:v>
      </x:c>
      <x:c r="D50" s="72" t="str">
        <x:v>Library:DRV0006A_NV</x:v>
      </x:c>
      <x:c r="E50" s="72" t="str">
        <x:v>1</x:v>
      </x:c>
      <x:c r="F50" s="72" t="str"/>
    </x:row>
    <x:row r="51">
      <x:c r="A51" s="72" t="str">
        <x:v>U9,U10</x:v>
      </x:c>
      <x:c r="B51" s="72" t="str">
        <x:v>TLV1117LV33DCYR</x:v>
      </x:c>
      <x:c r="C51" s="72" t="str">
        <x:v>https://www.ti.com/lit/gpn/tlv1117lv</x:v>
      </x:c>
      <x:c r="D51" s="72" t="str">
        <x:v>Library:TLV1117-33IDCYR</x:v>
      </x:c>
      <x:c r="E51" s="72" t="str">
        <x:v>2</x:v>
      </x:c>
      <x:c r="F51" s="72" t="str"/>
    </x:row>
    <x:row r="52">
      <x:c r="A52" s="73" t="str">
        <x:v>Y2</x:v>
      </x:c>
      <x:c r="B52" s="73" t="str">
        <x:v>ABM3C-25.000MHZ-D4Y-T</x:v>
      </x:c>
      <x:c r="C52" s="73" t="str">
        <x:v>https://abracon.com/Resonators/ABM3C.pdf</x:v>
      </x:c>
      <x:c r="D52" s="73" t="str">
        <x:v>Library:CRYSTAL_ABM3C_ABR-M</x:v>
      </x:c>
      <x:c r="E52" s="73" t="str">
        <x:v>1</x:v>
      </x:c>
      <x:c r="F52" s="73" t="str"/>
    </x:row>
  </x:sheetData>
  <x:pageMargins left="0.7" right="0.7" top="0.75" bottom="0.75" header="0.3" footer="0.3"/>
  <x:tableParts count="1">
    <x:tablePart xmlns:r="http://schemas.openxmlformats.org/officeDocument/2006/relationships" r:id="R08f0a0a83b154c4e"/>
  </x:tableParts>
</x:worksheet>
</file>